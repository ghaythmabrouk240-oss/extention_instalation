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a87ccf371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6f4194c021478c"/>
    <x:sheet xmlns:r="http://schemas.openxmlformats.org/officeDocument/2006/relationships" name="Checklist" sheetId="2" r:id="R54c24434c59d435b"/>
    <x:sheet xmlns:r="http://schemas.openxmlformats.org/officeDocument/2006/relationships" name="Permissions" sheetId="3" r:id="R77db6c780b8b40c5"/>
    <x:sheet xmlns:r="http://schemas.openxmlformats.org/officeDocument/2006/relationships" name="Git Snapshot" sheetId="4" r:id="R04ce8416f4814de3"/>
    <x:sheet xmlns:r="http://schemas.openxmlformats.org/officeDocument/2006/relationships" name="Lists" sheetId="5" r:id="R111fa38720d8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b/>
      <x:sz val="12"/>
      <x:color rgb="FFFFFFFF"/>
      <x:name val="Carlito"/>
    </x:font>
    <x:font>
      <x:b/>
      <x:sz val="9"/>
      <x:color rgb="FF64748B"/>
      <x:name val="Carlito"/>
    </x:font>
    <x:font>
      <x:b/>
      <x:sz val="18"/>
      <x:color rgb="FF103A5D"/>
      <x:name val="Carlito"/>
    </x:font>
    <x:font>
      <x:b/>
      <x:sz val="11"/>
      <x:color rgb="FF103A5D"/>
      <x:name val="Carlito"/>
    </x:font>
    <x:font>
      <x:sz val="11"/>
      <x:color rgb="FF33415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3A5D"/>
      </x:patternFill>
    </x:fill>
    <x:fill>
      <x:patternFill patternType="solid">
        <x:fgColor rgb="FFEAF4FB"/>
      </x:patternFill>
    </x:fill>
    <x:fill>
      <x:patternFill patternType="solid">
        <x:fgColor rgb="FF1F6FB2"/>
      </x:patternFill>
    </x:fill>
    <x:fill>
      <x:patternFill patternType="solid">
        <x:fgColor rgb="FFFFFFFF"/>
      </x:patternFill>
    </x:fill>
    <x:fill>
      <x:patternFill patternType="solid">
        <x:fgColor rgb="FFFCE0E0"/>
      </x:patternFill>
    </x:fill>
    <x:fill>
      <x:patternFill patternType="solid">
        <x:fgColor rgb="FFA7D8F0"/>
      </x:patternFill>
    </x:fill>
    <x:fill>
      <x:patternFill patternType="solid">
        <x:fgColor rgb="FFD9F2E3"/>
      </x:patternFill>
    </x:fill>
    <x:fill>
      <x:patternFill patternType="solid">
        <x:fgColor rgb="FFFFF1CC"/>
      </x:patternFill>
    </x:fill>
    <x:fill>
      <x:patternFill patternType="solid">
        <x:fgColor rgb="FFF4F7FA"/>
      </x:patternFill>
    </x:fill>
  </x:fills>
  <x:borders count="8">
    <x:border/>
    <x:border>
      <x:left style="thin">
        <x:color rgb="FFD7E3EE"/>
      </x:left>
      <x:right style="thin">
        <x:color rgb="FFD7E3EE"/>
      </x:right>
      <x:top style="thin">
        <x:color rgb="FFD7E3EE"/>
      </x:top>
      <x:bottom style="thin">
        <x:color rgb="FFD7E3EE"/>
      </x:bottom>
    </x:border>
    <x:border>
      <x:left style="thin">
        <x:color rgb="FFD7E3EE"/>
      </x:left>
      <x:top style="thin">
        <x:color rgb="FFD7E3EE"/>
      </x:top>
    </x:border>
    <x:border>
      <x:right style="thin">
        <x:color rgb="FFD7E3EE"/>
      </x:right>
      <x:top style="thin">
        <x:color rgb="FFD7E3EE"/>
      </x:top>
    </x:border>
    <x:border>
      <x:left style="thin">
        <x:color rgb="FFD7E3EE"/>
      </x:left>
    </x:border>
    <x:border>
      <x:right style="thin">
        <x:color rgb="FFD7E3EE"/>
      </x:right>
    </x:border>
    <x:border>
      <x:left style="thin">
        <x:color rgb="FFD7E3EE"/>
      </x:left>
      <x:bottom style="thin">
        <x:color rgb="FFD7E3EE"/>
      </x:bottom>
    </x:border>
    <x:border>
      <x:right style="thin">
        <x:color rgb="FFD7E3EE"/>
      </x:right>
      <x:bottom style="thin">
        <x:color rgb="FFD7E3EE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/>
    <x:xf numFmtId="0" fontId="8" fillId="3" borderId="5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horizont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/>
    <x:xf numFmtId="0" fontId="8" fillId="7" borderId="5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/>
    <x:xf numFmtId="0" fontId="8" fillId="8" borderId="5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7" fillId="9" borderId="2" xfId="0" applyNumberFormat="1" applyFont="1" applyFill="1" applyBorder="1"/>
    <x:xf numFmtId="0" fontId="7" fillId="9" borderId="2" xfId="0" applyNumberFormat="1" applyFont="1" applyFill="1" applyBorder="1" applyAlignment="1">
      <x:alignment horizontal="center"/>
    </x:xf>
    <x:xf numFmtId="0" fontId="8" fillId="9" borderId="5" xfId="0" applyNumberFormat="1" applyFont="1" applyFill="1" applyBorder="1"/>
    <x:xf numFmtId="0" fontId="8" fillId="9" borderId="5" xfId="0" applyNumberFormat="1" applyFont="1" applyFill="1" applyBorder="1" applyAlignment="1">
      <x:alignment horizontal="center"/>
    </x:xf>
    <x:xf numFmtId="0" fontId="8" fillId="9" borderId="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7" fillId="10" borderId="2" xfId="0" applyNumberFormat="1" applyFont="1" applyFill="1" applyBorder="1"/>
    <x:xf numFmtId="0" fontId="7" fillId="10" borderId="2" xfId="0" applyNumberFormat="1" applyFont="1" applyFill="1" applyBorder="1" applyAlignment="1">
      <x:alignment horizontal="center"/>
    </x:xf>
    <x:xf numFmtId="0" fontId="8" fillId="10" borderId="5" xfId="0" applyNumberFormat="1" applyFont="1" applyFill="1" applyBorder="1"/>
    <x:xf numFmtId="0" fontId="8" fillId="10" borderId="5" xfId="0" applyNumberFormat="1" applyFont="1" applyFill="1" applyBorder="1" applyAlignment="1">
      <x:alignment horizontal="center"/>
    </x:xf>
    <x:xf numFmtId="0" fontId="8" fillId="10" borderId="5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9" fillId="3" borderId="1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4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A32020"/>
      </x:font>
      <x:fill>
        <x:patternFill patternType="solid">
          <x:bgColor rgb="FFFCE0E0"/>
        </x:patternFill>
      </x:fill>
    </x:dxf>
    <x:dxf>
      <x:font>
        <x:b/>
        <x:color rgb="FF946200"/>
      </x:font>
      <x:fill>
        <x:patternFill patternType="solid">
          <x:bgColor rgb="FFFFF1CC"/>
        </x:patternFill>
      </x:fill>
    </x:dxf>
    <x:dxf>
      <x:font>
        <x:b/>
        <x:color rgb="FF103A5D"/>
      </x:font>
      <x:fill>
        <x:patternFill patternType="solid">
          <x:bgColor rgb="FFEDE7F6"/>
        </x:patternFill>
      </x:fill>
    </x:dxf>
    <x:dxf>
      <x:font>
        <x:b/>
        <x:color rgb="FF0F7A3B"/>
      </x:font>
      <x:fill>
        <x:patternFill patternType="solid">
          <x:bgColor rgb="FFD9F2E3"/>
        </x:patternFill>
      </x:fill>
    </x:dxf>
    <x:dxf>
      <x:font>
        <x:b/>
        <x:color rgb="FF64748B"/>
      </x:font>
      <x:fill>
        <x:patternFill patternType="solid">
          <x:bgColor rgb="FFF4F7FA"/>
        </x:patternFill>
      </x:fill>
    </x:dxf>
    <x:dxf>
      <x:font>
        <x:b/>
        <x:color rgb="FFA32020"/>
      </x:font>
      <x:fill>
        <x:patternFill patternType="solid">
          <x:bgColor rgb="FFFCE0E0"/>
        </x:patternFill>
      </x:fill>
    </x:dxf>
    <x:dxf>
      <x:font>
        <x:b/>
        <x:color rgb="FF0F7A3B"/>
      </x:font>
      <x:fill>
        <x:patternFill patternType="solid">
          <x:bgColor rgb="FFD9F2E3"/>
        </x:patternFill>
      </x:fill>
    </x:dxf>
    <x:dxf>
      <x:font>
        <x:b/>
        <x:color rgb="FFA32020"/>
      </x:font>
      <x:fill>
        <x:patternFill patternType="solid">
          <x:bgColor rgb="FFFCE0E0"/>
        </x:patternFill>
      </x:fill>
    </x:dxf>
    <x:dxf>
      <x:font>
        <x:b/>
        <x:color rgb="FF946200"/>
      </x:font>
      <x:fill>
        <x:patternFill patternType="solid">
          <x:bgColor rgb="FFFFF1CC"/>
        </x:patternFill>
      </x:fill>
    </x:dxf>
    <x:dxf>
      <x:font>
        <x:b/>
        <x:color rgb="FF64748B"/>
      </x:font>
      <x:fill>
        <x:patternFill patternType="solid">
          <x:bgColor rgb="FFF4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82d2b0cdd45d7" /><Relationship Type="http://schemas.openxmlformats.org/officeDocument/2006/relationships/theme" Target="/xl/theme/theme1.xml" Id="R5af089b6e3bc4e13" /><Relationship Type="http://schemas.openxmlformats.org/officeDocument/2006/relationships/sharedStrings" Target="/xl/sharedStrings.xml" Id="R8b45851248f84ef7" /><Relationship Type="http://schemas.openxmlformats.org/officeDocument/2006/relationships/worksheet" Target="/xl/worksheets/sheet1.xml" Id="Ree6f4194c021478c" /><Relationship Type="http://schemas.openxmlformats.org/officeDocument/2006/relationships/worksheet" Target="/xl/worksheets/sheet2.xml" Id="R54c24434c59d435b" /><Relationship Type="http://schemas.openxmlformats.org/officeDocument/2006/relationships/worksheet" Target="/xl/worksheets/sheet3.xml" Id="R77db6c780b8b40c5" /><Relationship Type="http://schemas.openxmlformats.org/officeDocument/2006/relationships/worksheet" Target="/xl/worksheets/sheet4.xml" Id="R04ce8416f4814de3" /><Relationship Type="http://schemas.openxmlformats.org/officeDocument/2006/relationships/worksheet" Target="/xl/worksheets/sheet5.xml" Id="R111fa38720d844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2c553a1233490d" /><Relationship Type="http://schemas.openxmlformats.org/officeDocument/2006/relationships/chart" Target="/xl/drawings/charts/chart2.xml" Id="Rc4077db6dbe545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Load by Owner and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P0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P1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'Dashboard'!$C$16:$C$19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P2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'Dashboard'!$D$16:$D$19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Git Push Status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cat>
            <c:strRef>
              <c:f>'Dashboard'!$F$16:$F$19</c:f>
              <c:strCache>
                <c:ptCount val="0"/>
              </c:strCache>
            </c:strRef>
          </c:cat>
          <c:val>
            <c:numRef>
              <c:f>'Dashboard'!$G$16:$G$19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2c553a1233490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11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077db6dbe545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allationPOCChecklist" displayName="InstallationPOCChecklist" ref="A4:K57" headerRowCount="1">
  <x:autoFilter ref="A4:K57"/>
  <x:tableColumns count="11">
    <x:tableColumn id="1" name="Owner"/>
    <x:tableColumn id="2" name="Workstream"/>
    <x:tableColumn id="3" name="Priority"/>
    <x:tableColumn id="4" name="Task"/>
    <x:tableColumn id="5" name="Acceptance Criteria"/>
    <x:tableColumn id="6" name="Source"/>
    <x:tableColumn id="7" name="Implementation Status"/>
    <x:tableColumn id="8" name="Pushed to Git Repo?"/>
    <x:tableColumn id="9" name="Current Repo Evidence / Notes"/>
    <x:tableColumn id="10" name="Assigned To"/>
    <x:tableColumn id="11" name="Target"/>
  </x:tableColumns>
  <x:tableStyleInfo name="TableStyleMedium2" showRowStripes="1"/>
</x:table>
</file>

<file path=xl/tables/table2.xml><?xml version="1.0" encoding="utf-8"?>
<x:table xmlns:x="http://schemas.openxmlformats.org/spreadsheetml/2006/main" id="2" name="PermissionMatrix" displayName="PermissionMatrix" ref="A4:E14" headerRowCount="1">
  <x:tableColumns count="5">
    <x:tableColumn id="1" name="Action"/>
    <x:tableColumn id="2" name="Admin"/>
    <x:tableColumn id="3" name="Biomedical"/>
    <x:tableColumn id="4" name="Manager Optional"/>
    <x:tableColumn id="5" name="Implementation Not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f7718995224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3bd7a2878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acda30f56441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.630000114440918" hidden="0" customWidth="1"/>
    <x:col min="3" max="3" width="11.880000114440918" hidden="0" customWidth="1"/>
    <x:col min="4" max="4" width="11.880000114440918" hidden="0" customWidth="1"/>
    <x:col min="5" max="5" width="15.630000114440918" hidden="0" customWidth="1"/>
    <x:col min="6" max="6" width="11.880000114440918" hidden="0" customWidth="1"/>
    <x:col min="7" max="7" width="11.880000114440918" hidden="0" customWidth="1"/>
    <x:col min="8" max="8" width="15.63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</x:cols>
  <x:sheetData>
    <x:row r="1" ht="25.5" customHeight="1">
      <x:c r="A1" s="7" t="str">
        <x:v>Installation POC Checklist Dashboard</x:v>
      </x:c>
    </x:row>
    <x:row r="2" ht="21" customHeight="1">
      <x:c r="A2" s="10" t="str">
        <x:v>Repo snapshot: main -&gt; origin/main; pushed status is based on local git state checked 2026-06-09.</x:v>
      </x:c>
    </x:row>
    <x:row r="4">
      <x:c r="A4" s="21" t="str">
        <x:v>Executive Summary</x:v>
      </x:c>
    </x:row>
    <x:row r="6">
      <x:c r="A6" s="29" t="str">
        <x:v>Total Tasks</x:v>
      </x:c>
      <x:c r="B6" s="23"/>
      <x:c r="D6" s="41" t="str">
        <x:v>P0 Must Fix</x:v>
      </x:c>
      <x:c r="E6" s="35"/>
      <x:c r="G6" s="53" t="str">
        <x:v>Person A Tasks</x:v>
      </x:c>
      <x:c r="H6" s="47"/>
      <x:c r="J6" s="53" t="str">
        <x:v>Person B Tasks</x:v>
      </x:c>
      <x:c r="K6" s="47"/>
    </x:row>
    <x:row r="7">
      <x:c r="A7" s="24"/>
      <x:c r="B7" s="32" t="n">
        <x:f>COUNTA(Checklist!$D$5:$D$57)</x:f>
        <x:v>53</x:v>
      </x:c>
      <x:c r="D7" s="36"/>
      <x:c r="E7" s="44" t="n">
        <x:f>COUNTIF(Checklist!$C$5:$C$57,"P0")</x:f>
        <x:v>28</x:v>
      </x:c>
      <x:c r="G7" s="48"/>
      <x:c r="H7" s="56" t="n">
        <x:f>COUNTIF(Checklist!$A$5:$A$57,"Person A")</x:f>
        <x:v>17</x:v>
      </x:c>
      <x:c r="J7" s="48"/>
      <x:c r="K7" s="56" t="n">
        <x:f>COUNTIF(Checklist!$A$5:$A$57,"Person B")</x:f>
        <x:v>19</x:v>
      </x:c>
    </x:row>
    <x:row r="8">
      <x:c r="A8" s="26"/>
      <x:c r="B8" s="27"/>
      <x:c r="D8" s="38"/>
      <x:c r="E8" s="39"/>
      <x:c r="G8" s="50"/>
      <x:c r="H8" s="51"/>
      <x:c r="J8" s="50"/>
      <x:c r="K8" s="51"/>
    </x:row>
    <x:row r="10">
      <x:c r="A10" s="65" t="str">
        <x:v>Pushed Yes</x:v>
      </x:c>
      <x:c r="B10" s="59"/>
      <x:c r="D10" s="77" t="str">
        <x:v>Pushed Partial</x:v>
      </x:c>
      <x:c r="E10" s="71"/>
      <x:c r="G10" s="41" t="str">
        <x:v>Not Pushed</x:v>
      </x:c>
      <x:c r="H10" s="35"/>
      <x:c r="J10" s="89" t="str">
        <x:v>Deferred/N-A</x:v>
      </x:c>
      <x:c r="K10" s="83"/>
    </x:row>
    <x:row r="11">
      <x:c r="A11" s="60"/>
      <x:c r="B11" s="68" t="n">
        <x:f>COUNTIF(Checklist!$H$5:$H$57,"Yes")</x:f>
        <x:v>0</x:v>
      </x:c>
      <x:c r="D11" s="72"/>
      <x:c r="E11" s="80" t="n">
        <x:f>COUNTIF(Checklist!$H$5:$H$57,"Partial")</x:f>
        <x:v>8</x:v>
      </x:c>
      <x:c r="G11" s="36"/>
      <x:c r="H11" s="44" t="n">
        <x:f>COUNTIF(Checklist!$H$5:$H$57,"No")</x:f>
        <x:v>38</x:v>
      </x:c>
      <x:c r="J11" s="84"/>
      <x:c r="K11" s="92" t="n">
        <x:f>COUNTIF(Checklist!$H$5:$H$57,"N/A")</x:f>
        <x:v>7</x:v>
      </x:c>
    </x:row>
    <x:row r="12">
      <x:c r="A12" s="62"/>
      <x:c r="B12" s="63"/>
      <x:c r="D12" s="74"/>
      <x:c r="E12" s="75"/>
      <x:c r="G12" s="38"/>
      <x:c r="H12" s="39"/>
      <x:c r="J12" s="86"/>
      <x:c r="K12" s="87"/>
    </x:row>
    <x:row r="15">
      <x:c r="A15" s="94" t="str">
        <x:v>Owner</x:v>
      </x:c>
      <x:c r="B15" s="94" t="str">
        <x:v>P0</x:v>
      </x:c>
      <x:c r="C15" s="94" t="str">
        <x:v>P1</x:v>
      </x:c>
      <x:c r="D15" s="94" t="str">
        <x:v>P2</x:v>
      </x:c>
      <x:c r="F15" s="3" t="str">
        <x:v>Pushed Status</x:v>
      </x:c>
      <x:c r="G15" s="3" t="str">
        <x:v>Count</x:v>
      </x:c>
      <x:c r="H15" s="3" t="str">
        <x:v>Share</x:v>
      </x:c>
    </x:row>
    <x:row r="16">
      <x:c r="A16" s="96" t="str">
        <x:v>Shared</x:v>
      </x:c>
      <x:c r="B16" s="98" t="n">
        <x:f>COUNTIFS(Checklist!$A$5:$A$57,$A16,Checklist!$C$5:$C$57,B$15)</x:f>
        <x:v>10</x:v>
      </x:c>
      <x:c r="C16" s="98" t="n">
        <x:f>COUNTIFS(Checklist!$A$5:$A$57,$A16,Checklist!$C$5:$C$57,C$15)</x:f>
        <x:v>0</x:v>
      </x:c>
      <x:c r="D16" s="98" t="n">
        <x:f>COUNTIFS(Checklist!$A$5:$A$57,$A16,Checklist!$C$5:$C$57,D$15)</x:f>
        <x:v>0</x:v>
      </x:c>
      <x:c r="F16" s="4" t="str">
        <x:v>No</x:v>
      </x:c>
      <x:c r="G16" s="4" t="n">
        <x:f>COUNTIF(Checklist!$H$5:$H$57,F16)</x:f>
        <x:v>38</x:v>
      </x:c>
      <x:c r="H16" s="100" t="n">
        <x:f>IFERROR(G16/SUM($G$16:$G$19),0)</x:f>
        <x:v>0.7169811320754716</x:v>
      </x:c>
    </x:row>
    <x:row r="17">
      <x:c r="A17" s="96" t="str">
        <x:v>Person A</x:v>
      </x:c>
      <x:c r="B17" s="98" t="n">
        <x:f>COUNTIFS(Checklist!$A$5:$A$57,$A17,Checklist!$C$5:$C$57,B$15)</x:f>
        <x:v>9</x:v>
      </x:c>
      <x:c r="C17" s="98" t="n">
        <x:f>COUNTIFS(Checklist!$A$5:$A$57,$A17,Checklist!$C$5:$C$57,C$15)</x:f>
        <x:v>8</x:v>
      </x:c>
      <x:c r="D17" s="98" t="n">
        <x:f>COUNTIFS(Checklist!$A$5:$A$57,$A17,Checklist!$C$5:$C$57,D$15)</x:f>
        <x:v>0</x:v>
      </x:c>
      <x:c r="F17" s="4" t="str">
        <x:v>Partial</x:v>
      </x:c>
      <x:c r="G17" s="4" t="n">
        <x:f>COUNTIF(Checklist!$H$5:$H$57,F17)</x:f>
        <x:v>8</x:v>
      </x:c>
      <x:c r="H17" s="100" t="n">
        <x:f>IFERROR(G17/SUM($G$16:$G$19),0)</x:f>
        <x:v>0.1509433962264151</x:v>
      </x:c>
    </x:row>
    <x:row r="18">
      <x:c r="A18" s="96" t="str">
        <x:v>Person B</x:v>
      </x:c>
      <x:c r="B18" s="98" t="n">
        <x:f>COUNTIFS(Checklist!$A$5:$A$57,$A18,Checklist!$C$5:$C$57,B$15)</x:f>
        <x:v>9</x:v>
      </x:c>
      <x:c r="C18" s="98" t="n">
        <x:f>COUNTIFS(Checklist!$A$5:$A$57,$A18,Checklist!$C$5:$C$57,C$15)</x:f>
        <x:v>10</x:v>
      </x:c>
      <x:c r="D18" s="98" t="n">
        <x:f>COUNTIFS(Checklist!$A$5:$A$57,$A18,Checklist!$C$5:$C$57,D$15)</x:f>
        <x:v>0</x:v>
      </x:c>
      <x:c r="F18" s="4" t="str">
        <x:v>Yes</x:v>
      </x:c>
      <x:c r="G18" s="4" t="n">
        <x:f>COUNTIF(Checklist!$H$5:$H$57,F18)</x:f>
        <x:v>0</x:v>
      </x:c>
      <x:c r="H18" s="100" t="n">
        <x:f>IFERROR(G18/SUM($G$16:$G$19),0)</x:f>
        <x:v>0</x:v>
      </x:c>
    </x:row>
    <x:row r="19">
      <x:c r="A19" s="96" t="str">
        <x:v>Optional</x:v>
      </x:c>
      <x:c r="B19" s="98" t="n">
        <x:f>COUNTIFS(Checklist!$A$5:$A$57,$A19,Checklist!$C$5:$C$57,B$15)</x:f>
        <x:v>0</x:v>
      </x:c>
      <x:c r="C19" s="98" t="n">
        <x:f>COUNTIFS(Checklist!$A$5:$A$57,$A19,Checklist!$C$5:$C$57,C$15)</x:f>
        <x:v>0</x:v>
      </x:c>
      <x:c r="D19" s="98" t="n">
        <x:f>COUNTIFS(Checklist!$A$5:$A$57,$A19,Checklist!$C$5:$C$57,D$15)</x:f>
        <x:v>7</x:v>
      </x:c>
      <x:c r="F19" s="4" t="str">
        <x:v>N/A</x:v>
      </x:c>
      <x:c r="G19" s="4" t="n">
        <x:f>COUNTIF(Checklist!$H$5:$H$57,F19)</x:f>
        <x:v>7</x:v>
      </x:c>
      <x:c r="H19" s="100" t="n">
        <x:f>IFERROR(G19/SUM($G$16:$G$19),0)</x:f>
        <x:v>0.1320754716981132</x:v>
      </x:c>
    </x:row>
    <x:row r="41">
      <x:c r="A41" s="101" t="str">
        <x:v>Decision Notes</x:v>
      </x:c>
    </x:row>
    <x:row r="42">
      <x:c r="A42" s="107" t="str">
        <x:v>1</x:v>
      </x:c>
      <x:c r="B42" s="108" t="str">
        <x:v>Role management and proper MRI/Cath separation are P0 and should be implemented before demo polish.</x:v>
      </x:c>
      <x:c r="C42" s="108" t="str"/>
      <x:c r="D42" s="108" t="str"/>
      <x:c r="E42" s="108" t="str"/>
      <x:c r="F42" s="108" t="str"/>
      <x:c r="G42" s="108" t="str"/>
      <x:c r="H42" s="108" t="str"/>
      <x:c r="I42" s="108" t="str"/>
      <x:c r="J42" s="108" t="str"/>
      <x:c r="K42" s="108" t="str"/>
    </x:row>
    <x:row r="43">
      <x:c r="A43" s="107" t="str">
        <x:v>2</x:v>
      </x:c>
      <x:c r="B43" s="108" t="str">
        <x:v>KPI dashboard and monthly calendar are P1 because the latest request makes them expected demo items.</x:v>
      </x:c>
      <x:c r="C43" s="108" t="str"/>
      <x:c r="D43" s="108" t="str"/>
      <x:c r="E43" s="108" t="str"/>
      <x:c r="F43" s="108" t="str"/>
      <x:c r="G43" s="108" t="str"/>
      <x:c r="H43" s="108" t="str"/>
      <x:c r="I43" s="108" t="str"/>
      <x:c r="J43" s="108" t="str"/>
      <x:c r="K43" s="108" t="str"/>
    </x:row>
    <x:row r="44">
      <x:c r="A44" s="107" t="str">
        <x:v>3</x:v>
      </x:c>
      <x:c r="B44" s="108" t="str">
        <x:v>Budget and full time-spent tracking remain P2 until Philips confirms they are required.</x:v>
      </x:c>
      <x:c r="C44" s="108" t="str"/>
      <x:c r="D44" s="108" t="str"/>
      <x:c r="E44" s="108" t="str"/>
      <x:c r="F44" s="108" t="str"/>
      <x:c r="G44" s="108" t="str"/>
      <x:c r="H44" s="108" t="str"/>
      <x:c r="I44" s="108" t="str"/>
      <x:c r="J44" s="108" t="str"/>
      <x:c r="K44" s="108" t="str"/>
    </x:row>
    <x:row r="45">
      <x:c r="A45" s="107" t="str">
        <x:v>4</x:v>
      </x:c>
      <x:c r="B45" s="108" t="str">
        <x:v>The pushed-status column is editable; current values are based on the local git snapshot, not remote CI.</x:v>
      </x:c>
      <x:c r="C45" s="108" t="str"/>
      <x:c r="D45" s="108" t="str"/>
      <x:c r="E45" s="108" t="str"/>
      <x:c r="F45" s="108" t="str"/>
      <x:c r="G45" s="108" t="str"/>
      <x:c r="H45" s="108" t="str"/>
      <x:c r="I45" s="108" t="str"/>
      <x:c r="J45" s="108" t="str"/>
      <x:c r="K45" s="108" t="str"/>
    </x:row>
  </x:sheetData>
  <x:mergeCells>
    <x:mergeCell ref="A1:K1"/>
    <x:mergeCell ref="A2:K2"/>
    <x:mergeCell ref="A4:K4"/>
    <x:mergeCell ref="A41:K41"/>
    <x:mergeCell ref="B42:K42"/>
    <x:mergeCell ref="B43:K43"/>
    <x:mergeCell ref="B44:K44"/>
    <x:mergeCell ref="B45:K45"/>
  </x:mergeCells>
  <x:pageMargins left="0.7" right="0.7" top="0.75" bottom="0.75" header="0.3" footer="0.3"/>
  <x:drawing xmlns:r="http://schemas.openxmlformats.org/officeDocument/2006/relationships" r:id="Rddf7718995224d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8.75" hidden="0" customWidth="1"/>
    <x:col min="4" max="4" width="36.25" hidden="0" customWidth="1"/>
    <x:col min="5" max="5" width="47.5" hidden="0" customWidth="1"/>
    <x:col min="6" max="6" width="23.75" hidden="0" customWidth="1"/>
    <x:col min="7" max="7" width="18.1299991607666" hidden="0" customWidth="1"/>
    <x:col min="8" max="8" width="18.1299991607666" hidden="0" customWidth="1"/>
    <x:col min="9" max="9" width="47.5" hidden="0" customWidth="1"/>
    <x:col min="10" max="10" width="13.75" hidden="0" customWidth="1"/>
    <x:col min="11" max="11" width="11.25" hidden="0" customWidth="1"/>
  </x:cols>
  <x:sheetData>
    <x:row r="1" ht="25.5" customHeight="1">
      <x:c r="A1" s="7" t="str">
        <x:v>Installation POC Delivery Checklist</x:v>
      </x:c>
    </x:row>
    <x:row r="2" ht="21" customHeight="1">
      <x:c r="A2" s="10" t="str">
        <x:v>Corporate task tracker for Person A, Person B, shared foundation, git push status, and demo readiness.</x:v>
      </x:c>
    </x:row>
    <x:row r="4">
      <x:c r="A4" s="15" t="str">
        <x:v>Owner</x:v>
      </x:c>
      <x:c r="B4" s="15" t="str">
        <x:v>Workstream</x:v>
      </x:c>
      <x:c r="C4" s="15" t="str">
        <x:v>Priority</x:v>
      </x:c>
      <x:c r="D4" s="15" t="str">
        <x:v>Task</x:v>
      </x:c>
      <x:c r="E4" s="15" t="str">
        <x:v>Acceptance Criteria</x:v>
      </x:c>
      <x:c r="F4" s="15" t="str">
        <x:v>Source</x:v>
      </x:c>
      <x:c r="G4" s="15" t="str">
        <x:v>Implementation Status</x:v>
      </x:c>
      <x:c r="H4" s="15" t="str">
        <x:v>Pushed to Git Repo?</x:v>
      </x:c>
      <x:c r="I4" s="15" t="str">
        <x:v>Current Repo Evidence / Notes</x:v>
      </x:c>
      <x:c r="J4" s="15" t="str">
        <x:v>Assigned To</x:v>
      </x:c>
      <x:c r="K4" s="15" t="str">
        <x:v>Target</x:v>
      </x:c>
    </x:row>
    <x:row r="5" ht="41.25" customHeight="1">
      <x:c r="A5" s="20" t="str">
        <x:v>Shared</x:v>
      </x:c>
      <x:c r="B5" s="20" t="str">
        <x:v>Foundation</x:v>
      </x:c>
      <x:c r="C5" s="20" t="str">
        <x:v>P0</x:v>
      </x:c>
      <x:c r="D5" s="20" t="str">
        <x:v>Agree final field names and status constants</x:v>
      </x:c>
      <x:c r="E5" s="20" t="str">
        <x:v>Common constants for profile types, statuses, roles, priorities, and document states are agreed and reused.</x:v>
      </x:c>
      <x:c r="F5" s="20" t="str">
        <x:v>Section 5 - Shared Foundation</x:v>
      </x:c>
      <x:c r="G5" s="20" t="str">
        <x:v>To Do</x:v>
      </x:c>
      <x:c r="H5" s="20" t="str">
        <x:v>No</x:v>
      </x:c>
      <x:c r="I5" s="20" t="str">
        <x:v>Current code uses scattered strings; needs shared constants.</x:v>
      </x:c>
      <x:c r="J5" s="20" t="str">
        <x:v>Both</x:v>
      </x:c>
      <x:c r="K5" s="20" t="str">
        <x:v>Sprint 1</x:v>
      </x:c>
    </x:row>
    <x:row r="6" ht="41.25" customHeight="1">
      <x:c r="A6" s="20" t="str">
        <x:v>Shared</x:v>
      </x:c>
      <x:c r="B6" s="20" t="str">
        <x:v>Foundation</x:v>
      </x:c>
      <x:c r="C6" s="20" t="str">
        <x:v>P0</x:v>
      </x:c>
      <x:c r="D6" s="20" t="str">
        <x:v>Align migrations with PRD names or document local names</x:v>
      </x:c>
      <x:c r="E6" s="20" t="str">
        <x:v>Migrations either match the PRD vocabulary or local deviations are documented clearly.</x:v>
      </x:c>
      <x:c r="F6" s="20" t="str">
        <x:v>Section 5 - Shared Foundation</x:v>
      </x:c>
      <x:c r="G6" s="20" t="str">
        <x:v>Partial</x:v>
      </x:c>
      <x:c r="H6" s="20" t="str">
        <x:v>Partial</x:v>
      </x:c>
      <x:c r="I6" s="20" t="str">
        <x:v>Installation/profile migrations exist, but foreign keys and names are inconsistent.</x:v>
      </x:c>
      <x:c r="J6" s="20" t="str">
        <x:v>Both</x:v>
      </x:c>
      <x:c r="K6" s="20" t="str">
        <x:v>Sprint 1</x:v>
      </x:c>
    </x:row>
    <x:row r="7" ht="41.25" customHeight="1">
      <x:c r="A7" s="20" t="str">
        <x:v>Shared</x:v>
      </x:c>
      <x:c r="B7" s="20" t="str">
        <x:v>Foundation</x:v>
      </x:c>
      <x:c r="C7" s="20" t="str">
        <x:v>P0</x:v>
      </x:c>
      <x:c r="D7" s="20" t="str">
        <x:v>Decide how role is stored on users</x:v>
      </x:c>
      <x:c r="E7" s="20" t="str">
        <x:v>A role field or equivalent internal mechanism exists for admin, biomedical, and optional manager.</x:v>
      </x:c>
      <x:c r="F7" s="20" t="str">
        <x:v>Section 5 - Shared Foundation</x:v>
      </x:c>
      <x:c r="G7" s="20" t="str">
        <x:v>To Do</x:v>
      </x:c>
      <x:c r="H7" s="20" t="str">
        <x:v>No</x:v>
      </x:c>
      <x:c r="I7" s="20" t="str">
        <x:v>No user role column, gate, policy, or middleware found.</x:v>
      </x:c>
      <x:c r="J7" s="20" t="str">
        <x:v>Both</x:v>
      </x:c>
      <x:c r="K7" s="20" t="str">
        <x:v>Sprint 1</x:v>
      </x:c>
    </x:row>
    <x:row r="8" ht="41.25" customHeight="1">
      <x:c r="A8" s="20" t="str">
        <x:v>Shared</x:v>
      </x:c>
      <x:c r="B8" s="20" t="str">
        <x:v>Foundation</x:v>
      </x:c>
      <x:c r="C8" s="20" t="str">
        <x:v>P0</x:v>
      </x:c>
      <x:c r="D8" s="20" t="str">
        <x:v>Define permission matrix and status transition matrix</x:v>
      </x:c>
      <x:c r="E8" s="20" t="str">
        <x:v>The PRD permission matrix and state-machine transitions are encoded in a simple reference/service.</x:v>
      </x:c>
      <x:c r="F8" s="20" t="str">
        <x:v>Section 5 - Shared Foundation</x:v>
      </x:c>
      <x:c r="G8" s="20" t="str">
        <x:v>To Do</x:v>
      </x:c>
      <x:c r="H8" s="20" t="str">
        <x:v>No</x:v>
      </x:c>
      <x:c r="I8" s="20" t="str">
        <x:v>Routes are open resource routes; edit form allows any listed status.</x:v>
      </x:c>
      <x:c r="J8" s="20" t="str">
        <x:v>Both</x:v>
      </x:c>
      <x:c r="K8" s="20" t="str">
        <x:v>Sprint 1</x:v>
      </x:c>
    </x:row>
    <x:row r="9" ht="41.25" customHeight="1">
      <x:c r="A9" s="20" t="str">
        <x:v>Shared</x:v>
      </x:c>
      <x:c r="B9" s="20" t="str">
        <x:v>Foundation</x:v>
      </x:c>
      <x:c r="C9" s="20" t="str">
        <x:v>P0</x:v>
      </x:c>
      <x:c r="D9" s="20" t="str">
        <x:v>Fix seed and demo data</x:v>
      </x:c>
      <x:c r="E9" s="20" t="str">
        <x:v>Seed data creates valid users, clients, equipment, MRI installation, Cath installation, documents, and statuses.</x:v>
      </x:c>
      <x:c r="F9" s="20" t="str">
        <x:v>Section 5 - Shared Foundation</x:v>
      </x:c>
      <x:c r="G9" s="20" t="str">
        <x:v>To Do</x:v>
      </x:c>
      <x:c r="H9" s="20" t="str">
        <x:v>No</x:v>
      </x:c>
      <x:c r="I9" s="20" t="str">
        <x:v>DummyDataSeeder is untracked and inconsistent with current equipment schema.</x:v>
      </x:c>
      <x:c r="J9" s="20" t="str">
        <x:v>Both</x:v>
      </x:c>
      <x:c r="K9" s="20" t="str">
        <x:v>Sprint 1</x:v>
      </x:c>
    </x:row>
    <x:row r="10" ht="41.25" customHeight="1">
      <x:c r="A10" s="20" t="str">
        <x:v>Shared</x:v>
      </x:c>
      <x:c r="B10" s="20" t="str">
        <x:v>Foundation</x:v>
      </x:c>
      <x:c r="C10" s="20" t="str">
        <x:v>P0</x:v>
      </x:c>
      <x:c r="D10" s="20" t="str">
        <x:v>Maintain shared demo script</x:v>
      </x:c>
      <x:c r="E10" s="20" t="str">
        <x:v>Demo script covers create MRI, create Cath, attach equipment/document, transition status, show dashboard/calendar, and blocked action.</x:v>
      </x:c>
      <x:c r="F10" s="20" t="str">
        <x:v>Section 5 - Shared Foundation</x:v>
      </x:c>
      <x:c r="G10" s="20" t="str">
        <x:v>To Do</x:v>
      </x:c>
      <x:c r="H10" s="20" t="str">
        <x:v>No</x:v>
      </x:c>
      <x:c r="I10" s="20" t="str">
        <x:v>No runnable demo checklist/script in repo yet.</x:v>
      </x:c>
      <x:c r="J10" s="20" t="str">
        <x:v>Both</x:v>
      </x:c>
      <x:c r="K10" s="20" t="str">
        <x:v>Sprint 4</x:v>
      </x:c>
    </x:row>
    <x:row r="11" ht="41.25" customHeight="1">
      <x:c r="A11" s="20" t="str">
        <x:v>Shared</x:v>
      </x:c>
      <x:c r="B11" s="20" t="str">
        <x:v>Integration</x:v>
      </x:c>
      <x:c r="C11" s="20" t="str">
        <x:v>P0</x:v>
      </x:c>
      <x:c r="D11" s="20" t="str">
        <x:v>Ensure php artisan migrate:fresh --seed works</x:v>
      </x:c>
      <x:c r="E11" s="20" t="str">
        <x:v>Fresh migration and seed run cleanly from zero database state.</x:v>
      </x:c>
      <x:c r="F11" s="20" t="str">
        <x:v>Section 6 - Checkpoint 1</x:v>
      </x:c>
      <x:c r="G11" s="20" t="str">
        <x:v>To Do</x:v>
      </x:c>
      <x:c r="H11" s="20" t="str">
        <x:v>No</x:v>
      </x:c>
      <x:c r="I11" s="20" t="str">
        <x:v>Migration constraints and seed mismatch need cleanup before this can be trusted.</x:v>
      </x:c>
      <x:c r="J11" s="20" t="str">
        <x:v>Both</x:v>
      </x:c>
      <x:c r="K11" s="20" t="str">
        <x:v>Sprint 1</x:v>
      </x:c>
    </x:row>
    <x:row r="12" ht="41.25" customHeight="1">
      <x:c r="A12" s="20" t="str">
        <x:v>Shared</x:v>
      </x:c>
      <x:c r="B12" s="20" t="str">
        <x:v>Integration</x:v>
      </x:c>
      <x:c r="C12" s="20" t="str">
        <x:v>P0</x:v>
      </x:c>
      <x:c r="D12" s="20" t="str">
        <x:v>Add one-to-one profile constraints</x:v>
      </x:c>
      <x:c r="E12" s="20" t="str">
        <x:v>Each installation has at most one matching MRI or Cath child profile.</x:v>
      </x:c>
      <x:c r="F12" s="20" t="str">
        <x:v>Section 6 - Checkpoint 1</x:v>
      </x:c>
      <x:c r="G12" s="20" t="str">
        <x:v>Partial</x:v>
      </x:c>
      <x:c r="H12" s="20" t="str">
        <x:v>Partial</x:v>
      </x:c>
      <x:c r="I12" s="20" t="str">
        <x:v>MRI has constrained installation_id; Cath uses unsignedBigInteger and no uniqueness.</x:v>
      </x:c>
      <x:c r="J12" s="20" t="str">
        <x:v>Both</x:v>
      </x:c>
      <x:c r="K12" s="20" t="str">
        <x:v>Sprint 1</x:v>
      </x:c>
    </x:row>
    <x:row r="13" ht="41.25" customHeight="1">
      <x:c r="A13" s="20" t="str">
        <x:v>Shared</x:v>
      </x:c>
      <x:c r="B13" s="20" t="str">
        <x:v>Integration</x:v>
      </x:c>
      <x:c r="C13" s="20" t="str">
        <x:v>P0</x:v>
      </x:c>
      <x:c r="D13" s="20" t="str">
        <x:v>Create demo users with roles</x:v>
      </x:c>
      <x:c r="E13" s="20" t="str">
        <x:v>Admin, biomedical, and optional manager demo accounts exist and are usable in tests/demo.</x:v>
      </x:c>
      <x:c r="F13" s="20" t="str">
        <x:v>Section 6 - Checkpoint 1</x:v>
      </x:c>
      <x:c r="G13" s="20" t="str">
        <x:v>To Do</x:v>
      </x:c>
      <x:c r="H13" s="20" t="str">
        <x:v>No</x:v>
      </x:c>
      <x:c r="I13" s="20" t="str">
        <x:v>Users exist through factory only; roles are not defined.</x:v>
      </x:c>
      <x:c r="J13" s="20" t="str">
        <x:v>Both</x:v>
      </x:c>
      <x:c r="K13" s="20" t="str">
        <x:v>Sprint 1</x:v>
      </x:c>
    </x:row>
    <x:row r="14" ht="41.25" customHeight="1">
      <x:c r="A14" s="20" t="str">
        <x:v>Shared</x:v>
      </x:c>
      <x:c r="B14" s="20" t="str">
        <x:v>Documentation</x:v>
      </x:c>
      <x:c r="C14" s="20" t="str">
        <x:v>P0</x:v>
      </x:c>
      <x:c r="D14" s="20" t="str">
        <x:v>Document real, simulated, and deferred scope</x:v>
      </x:c>
      <x:c r="E14" s="20" t="str">
        <x:v>Limitations around DMS, manager role, budget/time, interventions, and production integration are visible.</x:v>
      </x:c>
      <x:c r="F14" s="20" t="str">
        <x:v>Section 3 - P0 Backlog</x:v>
      </x:c>
      <x:c r="G14" s="20" t="str">
        <x:v>Partial</x:v>
      </x:c>
      <x:c r="H14" s="20" t="str">
        <x:v>No</x:v>
      </x:c>
      <x:c r="I14" s="20" t="str">
        <x:v>Local planning docs exist but are untracked, not pushed.</x:v>
      </x:c>
      <x:c r="J14" s="20" t="str">
        <x:v>Both</x:v>
      </x:c>
      <x:c r="K14" s="20" t="str">
        <x:v>Sprint 4</x:v>
      </x:c>
    </x:row>
    <x:row r="15" ht="41.25" customHeight="1">
      <x:c r="A15" s="20" t="str">
        <x:v>Person A</x:v>
      </x:c>
      <x:c r="B15" s="20" t="str">
        <x:v>Roles and Permissions</x:v>
      </x:c>
      <x:c r="C15" s="20" t="str">
        <x:v>P0</x:v>
      </x:c>
      <x:c r="D15" s="20" t="str">
        <x:v>Add simple role model</x:v>
      </x:c>
      <x:c r="E15" s="20" t="str">
        <x:v>User model supports admin, biomedical, and optional manager role values.</x:v>
      </x:c>
      <x:c r="F15" s="20" t="str">
        <x:v>Section 5 - Person A</x:v>
      </x:c>
      <x:c r="G15" s="20" t="str">
        <x:v>To Do</x:v>
      </x:c>
      <x:c r="H15" s="20" t="str">
        <x:v>No</x:v>
      </x:c>
      <x:c r="I15" s="20" t="str">
        <x:v>No role field exists in users migration/model.</x:v>
      </x:c>
      <x:c r="J15" s="20" t="str">
        <x:v>Person A</x:v>
      </x:c>
      <x:c r="K15" s="20" t="str">
        <x:v>Sprint 1</x:v>
      </x:c>
    </x:row>
    <x:row r="16" ht="41.25" customHeight="1">
      <x:c r="A16" s="20" t="str">
        <x:v>Person A</x:v>
      </x:c>
      <x:c r="B16" s="20" t="str">
        <x:v>Roles and Permissions</x:v>
      </x:c>
      <x:c r="C16" s="20" t="str">
        <x:v>P0</x:v>
      </x:c>
      <x:c r="D16" s="20" t="str">
        <x:v>Add InstallationPolicy or middleware</x:v>
      </x:c>
      <x:c r="E16" s="20" t="str">
        <x:v>Server-side authorization protects create, edit, archive, document, status, KPI, and calendar actions.</x:v>
      </x:c>
      <x:c r="F16" s="20" t="str">
        <x:v>Section 4 - Role Management</x:v>
      </x:c>
      <x:c r="G16" s="20" t="str">
        <x:v>To Do</x:v>
      </x:c>
      <x:c r="H16" s="20" t="str">
        <x:v>No</x:v>
      </x:c>
      <x:c r="I16" s="20" t="str">
        <x:v>No policies/gates/middleware found for module actions.</x:v>
      </x:c>
      <x:c r="J16" s="20" t="str">
        <x:v>Person A</x:v>
      </x:c>
      <x:c r="K16" s="20" t="str">
        <x:v>Sprint 1</x:v>
      </x:c>
    </x:row>
    <x:row r="17" ht="41.25" customHeight="1">
      <x:c r="A17" s="20" t="str">
        <x:v>Person A</x:v>
      </x:c>
      <x:c r="B17" s="20" t="str">
        <x:v>Roles and Permissions</x:v>
      </x:c>
      <x:c r="C17" s="20" t="str">
        <x:v>P0</x:v>
      </x:c>
      <x:c r="D17" s="20" t="str">
        <x:v>Implement admin vs biomedical vs manager checks</x:v>
      </x:c>
      <x:c r="E17" s="20" t="str">
        <x:v>Admin has full access; biomedical can create/edit but not archive; manager is read-only unless enabled.</x:v>
      </x:c>
      <x:c r="F17" s="20" t="str">
        <x:v>Section 4 - Permission Matrix</x:v>
      </x:c>
      <x:c r="G17" s="20" t="str">
        <x:v>To Do</x:v>
      </x:c>
      <x:c r="H17" s="20" t="str">
        <x:v>No</x:v>
      </x:c>
      <x:c r="I17" s="20" t="str">
        <x:v>No role-specific checks currently enforced.</x:v>
      </x:c>
      <x:c r="J17" s="20" t="str">
        <x:v>Person A</x:v>
      </x:c>
      <x:c r="K17" s="20" t="str">
        <x:v>Sprint 1</x:v>
      </x:c>
    </x:row>
    <x:row r="18" ht="41.25" customHeight="1">
      <x:c r="A18" s="20" t="str">
        <x:v>Person A</x:v>
      </x:c>
      <x:c r="B18" s="20" t="str">
        <x:v>Status Workflow</x:v>
      </x:c>
      <x:c r="C18" s="20" t="str">
        <x:v>P0</x:v>
      </x:c>
      <x:c r="D18" s="20" t="str">
        <x:v>Implement status transition service</x:v>
      </x:c>
      <x:c r="E18" s="20" t="str">
        <x:v>Allowed transitions are checked against role and minimum conditions before update.</x:v>
      </x:c>
      <x:c r="F18" s="20" t="str">
        <x:v>Section 5 - Person A</x:v>
      </x:c>
      <x:c r="G18" s="20" t="str">
        <x:v>To Do</x:v>
      </x:c>
      <x:c r="H18" s="20" t="str">
        <x:v>No</x:v>
      </x:c>
      <x:c r="I18" s="20" t="str">
        <x:v>Status update currently happens through generic edit validation.</x:v>
      </x:c>
      <x:c r="J18" s="20" t="str">
        <x:v>Person A</x:v>
      </x:c>
      <x:c r="K18" s="20" t="str">
        <x:v>Sprint 2</x:v>
      </x:c>
    </x:row>
    <x:row r="19" ht="41.25" customHeight="1">
      <x:c r="A19" s="20" t="str">
        <x:v>Person A</x:v>
      </x:c>
      <x:c r="B19" s="20" t="str">
        <x:v>Status Workflow</x:v>
      </x:c>
      <x:c r="C19" s="20" t="str">
        <x:v>P0</x:v>
      </x:c>
      <x:c r="D19" s="20" t="str">
        <x:v>Guard archive as admin-only</x:v>
      </x:c>
      <x:c r="E19" s="20" t="str">
        <x:v>Biomedical and manager cannot archive/delete; attempted archive is rejected and visible in tests.</x:v>
      </x:c>
      <x:c r="F19" s="20" t="str">
        <x:v>Section 5 - Person A</x:v>
      </x:c>
      <x:c r="G19" s="20" t="str">
        <x:v>To Do</x:v>
      </x:c>
      <x:c r="H19" s="20" t="str">
        <x:v>No</x:v>
      </x:c>
      <x:c r="I19" s="20" t="str">
        <x:v>Destroy route is exposed through resource route.</x:v>
      </x:c>
      <x:c r="J19" s="20" t="str">
        <x:v>Person A</x:v>
      </x:c>
      <x:c r="K19" s="20" t="str">
        <x:v>Sprint 2</x:v>
      </x:c>
    </x:row>
    <x:row r="20" ht="41.25" customHeight="1">
      <x:c r="A20" s="20" t="str">
        <x:v>Person A</x:v>
      </x:c>
      <x:c r="B20" s="20" t="str">
        <x:v>MRI Profile</x:v>
      </x:c>
      <x:c r="C20" s="20" t="str">
        <x:v>P0</x:v>
      </x:c>
      <x:c r="D20" s="20" t="str">
        <x:v>Clean up MRI migration and model</x:v>
      </x:c>
      <x:c r="E20" s="20" t="str">
        <x:v>MRI profile table/model use consistent naming, relationship, casts, and one-to-one constraints.</x:v>
      </x:c>
      <x:c r="F20" s="20" t="str">
        <x:v>Section 5 - Person A</x:v>
      </x:c>
      <x:c r="G20" s="20" t="str">
        <x:v>Partial</x:v>
      </x:c>
      <x:c r="H20" s="20" t="str">
        <x:v>Partial</x:v>
      </x:c>
      <x:c r="I20" s="20" t="str">
        <x:v>profil_irms migration/model exists but is not integrated in parent flow.</x:v>
      </x:c>
      <x:c r="J20" s="20" t="str">
        <x:v>Person A</x:v>
      </x:c>
      <x:c r="K20" s="20" t="str">
        <x:v>Sprint 2</x:v>
      </x:c>
    </x:row>
    <x:row r="21" ht="41.25" customHeight="1">
      <x:c r="A21" s="20" t="str">
        <x:v>Person A</x:v>
      </x:c>
      <x:c r="B21" s="20" t="str">
        <x:v>MRI Profile</x:v>
      </x:c>
      <x:c r="C21" s="20" t="str">
        <x:v>P0</x:v>
      </x:c>
      <x:c r="D21" s="20" t="str">
        <x:v>Add MRI validation rules</x:v>
      </x:c>
      <x:c r="E21" s="20" t="str">
        <x:v>MRI required fields block validation/operational status when missing.</x:v>
      </x:c>
      <x:c r="F21" s="20" t="str">
        <x:v>Section 5 - Person A</x:v>
      </x:c>
      <x:c r="G21" s="20" t="str">
        <x:v>To Do</x:v>
      </x:c>
      <x:c r="H21" s="20" t="str">
        <x:v>No</x:v>
      </x:c>
      <x:c r="I21" s="20" t="str">
        <x:v>Installation request validates common fields only.</x:v>
      </x:c>
      <x:c r="J21" s="20" t="str">
        <x:v>Person A</x:v>
      </x:c>
      <x:c r="K21" s="20" t="str">
        <x:v>Sprint 2</x:v>
      </x:c>
    </x:row>
    <x:row r="22" ht="41.25" customHeight="1">
      <x:c r="A22" s="20" t="str">
        <x:v>Person A</x:v>
      </x:c>
      <x:c r="B22" s="20" t="str">
        <x:v>MRI Profile</x:v>
      </x:c>
      <x:c r="C22" s="20" t="str">
        <x:v>P0</x:v>
      </x:c>
      <x:c r="D22" s="20" t="str">
        <x:v>Add MRI fields to create/edit flow</x:v>
      </x:c>
      <x:c r="E22" s="20" t="str">
        <x:v>Selecting IRM displays and saves MRI-specific fields in the parent installation form.</x:v>
      </x:c>
      <x:c r="F22" s="20" t="str">
        <x:v>Section 5 - Person A</x:v>
      </x:c>
      <x:c r="G22" s="20" t="str">
        <x:v>To Do</x:v>
      </x:c>
      <x:c r="H22" s="20" t="str">
        <x:v>No</x:v>
      </x:c>
      <x:c r="I22" s="20" t="str">
        <x:v>Create/edit views only expose common installation fields.</x:v>
      </x:c>
      <x:c r="J22" s="20" t="str">
        <x:v>Person A</x:v>
      </x:c>
      <x:c r="K22" s="20" t="str">
        <x:v>Sprint 2</x:v>
      </x:c>
    </x:row>
    <x:row r="23" ht="41.25" customHeight="1">
      <x:c r="A23" s="20" t="str">
        <x:v>Person A</x:v>
      </x:c>
      <x:c r="B23" s="20" t="str">
        <x:v>MRI Profile</x:v>
      </x:c>
      <x:c r="C23" s="20" t="str">
        <x:v>P0</x:v>
      </x:c>
      <x:c r="D23" s="20" t="str">
        <x:v>Display MRI tab on detail page</x:v>
      </x:c>
      <x:c r="E23" s="20" t="str">
        <x:v>Detail page shows MRI profile values when installation type is IRM.</x:v>
      </x:c>
      <x:c r="F23" s="20" t="str">
        <x:v>Section 5 - Person A</x:v>
      </x:c>
      <x:c r="G23" s="20" t="str">
        <x:v>To Do</x:v>
      </x:c>
      <x:c r="H23" s="20" t="str">
        <x:v>No</x:v>
      </x:c>
      <x:c r="I23" s="20" t="str">
        <x:v>Show page loads/displays Cath profile only.</x:v>
      </x:c>
      <x:c r="J23" s="20" t="str">
        <x:v>Person A</x:v>
      </x:c>
      <x:c r="K23" s="20" t="str">
        <x:v>Sprint 2</x:v>
      </x:c>
    </x:row>
    <x:row r="24" ht="41.25" customHeight="1">
      <x:c r="A24" s="20" t="str">
        <x:v>Person A</x:v>
      </x:c>
      <x:c r="B24" s="20" t="str">
        <x:v>MRI Profile</x:v>
      </x:c>
      <x:c r="C24" s="20" t="str">
        <x:v>P1</x:v>
      </x:c>
      <x:c r="D24" s="20" t="str">
        <x:v>Define required documents for MRI</x:v>
      </x:c>
      <x:c r="E24" s="20" t="str">
        <x:v>MRI document checklist includes installation report, reception report, room plan, prevention plan, and conformity certificate if applicable.</x:v>
      </x:c>
      <x:c r="F24" s="20" t="str">
        <x:v>Section 5 - Person A</x:v>
      </x:c>
      <x:c r="G24" s="20" t="str">
        <x:v>To Do</x:v>
      </x:c>
      <x:c r="H24" s="20" t="str">
        <x:v>No</x:v>
      </x:c>
      <x:c r="I24" s="20" t="str">
        <x:v>No required-document rules by profile exist.</x:v>
      </x:c>
      <x:c r="J24" s="20" t="str">
        <x:v>Person A</x:v>
      </x:c>
      <x:c r="K24" s="20" t="str">
        <x:v>Sprint 3</x:v>
      </x:c>
    </x:row>
    <x:row r="25" ht="41.25" customHeight="1">
      <x:c r="A25" s="20" t="str">
        <x:v>Person A</x:v>
      </x:c>
      <x:c r="B25" s="20" t="str">
        <x:v>KPI Dashboard</x:v>
      </x:c>
      <x:c r="C25" s="20" t="str">
        <x:v>P1</x:v>
      </x:c>
      <x:c r="D25" s="20" t="str">
        <x:v>Build KPI backend counts</x:v>
      </x:c>
      <x:c r="E25" s="20" t="str">
        <x:v>Backend returns counts by profile, status, maintenance, missing main equipment, and missing blocking documents.</x:v>
      </x:c>
      <x:c r="F25" s="20" t="str">
        <x:v>Section 5 - Person A</x:v>
      </x:c>
      <x:c r="G25" s="20" t="str">
        <x:v>To Do</x:v>
      </x:c>
      <x:c r="H25" s="20" t="str">
        <x:v>No</x:v>
      </x:c>
      <x:c r="I25" s="20" t="str">
        <x:v>Root redirects to installations index; no dashboard controller found.</x:v>
      </x:c>
      <x:c r="J25" s="20" t="str">
        <x:v>Person A</x:v>
      </x:c>
      <x:c r="K25" s="20" t="str">
        <x:v>Sprint 3</x:v>
      </x:c>
    </x:row>
    <x:row r="26" ht="41.25" customHeight="1">
      <x:c r="A26" s="20" t="str">
        <x:v>Person A</x:v>
      </x:c>
      <x:c r="B26" s="20" t="str">
        <x:v>KPI Dashboard</x:v>
      </x:c>
      <x:c r="C26" s="20" t="str">
        <x:v>P1</x:v>
      </x:c>
      <x:c r="D26" s="20" t="str">
        <x:v>Create KPI dashboard view</x:v>
      </x:c>
      <x:c r="E26" s="20" t="str">
        <x:v>Dashboard shows clean cards/charts for active installations, profile split, operational rate, and exceptions.</x:v>
      </x:c>
      <x:c r="F26" s="20" t="str">
        <x:v>Section 5 - Person A</x:v>
      </x:c>
      <x:c r="G26" s="20" t="str">
        <x:v>To Do</x:v>
      </x:c>
      <x:c r="H26" s="20" t="str">
        <x:v>No</x:v>
      </x:c>
      <x:c r="I26" s="20" t="str">
        <x:v>No dashboard view exists.</x:v>
      </x:c>
      <x:c r="J26" s="20" t="str">
        <x:v>Person A</x:v>
      </x:c>
      <x:c r="K26" s="20" t="str">
        <x:v>Sprint 3</x:v>
      </x:c>
    </x:row>
    <x:row r="27" ht="41.25" customHeight="1">
      <x:c r="A27" s="20" t="str">
        <x:v>Person A</x:v>
      </x:c>
      <x:c r="B27" s="20" t="str">
        <x:v>Tests</x:v>
      </x:c>
      <x:c r="C27" s="20" t="str">
        <x:v>P1</x:v>
      </x:c>
      <x:c r="D27" s="20" t="str">
        <x:v>Test biomedical can create and update MRI</x:v>
      </x:c>
      <x:c r="E27" s="20" t="str">
        <x:v>Feature test proves biomedical role can complete MRI parent/profile flow.</x:v>
      </x:c>
      <x:c r="F27" s="20" t="str">
        <x:v>Section 5 - Person A</x:v>
      </x:c>
      <x:c r="G27" s="20" t="str">
        <x:v>To Do</x:v>
      </x:c>
      <x:c r="H27" s="20" t="str">
        <x:v>No</x:v>
      </x:c>
      <x:c r="I27" s="20" t="str">
        <x:v>Only starter example tests exist.</x:v>
      </x:c>
      <x:c r="J27" s="20" t="str">
        <x:v>Person A</x:v>
      </x:c>
      <x:c r="K27" s="20" t="str">
        <x:v>Sprint 4</x:v>
      </x:c>
    </x:row>
    <x:row r="28" ht="41.25" customHeight="1">
      <x:c r="A28" s="20" t="str">
        <x:v>Person A</x:v>
      </x:c>
      <x:c r="B28" s="20" t="str">
        <x:v>Tests</x:v>
      </x:c>
      <x:c r="C28" s="20" t="str">
        <x:v>P1</x:v>
      </x:c>
      <x:c r="D28" s="20" t="str">
        <x:v>Test manager cannot edit</x:v>
      </x:c>
      <x:c r="E28" s="20" t="str">
        <x:v>Manager role can view where enabled but cannot edit common or profile fields.</x:v>
      </x:c>
      <x:c r="F28" s="20" t="str">
        <x:v>Section 5 - Person A</x:v>
      </x:c>
      <x:c r="G28" s="20" t="str">
        <x:v>To Do</x:v>
      </x:c>
      <x:c r="H28" s="20" t="str">
        <x:v>No</x:v>
      </x:c>
      <x:c r="I28" s="20" t="str">
        <x:v>No manager role or authorization tests exist.</x:v>
      </x:c>
      <x:c r="J28" s="20" t="str">
        <x:v>Person A</x:v>
      </x:c>
      <x:c r="K28" s="20" t="str">
        <x:v>Sprint 4</x:v>
      </x:c>
    </x:row>
    <x:row r="29" ht="41.25" customHeight="1">
      <x:c r="A29" s="20" t="str">
        <x:v>Person A</x:v>
      </x:c>
      <x:c r="B29" s="20" t="str">
        <x:v>Tests</x:v>
      </x:c>
      <x:c r="C29" s="20" t="str">
        <x:v>P1</x:v>
      </x:c>
      <x:c r="D29" s="20" t="str">
        <x:v>Test biomedical cannot archive</x:v>
      </x:c>
      <x:c r="E29" s="20" t="str">
        <x:v>Feature test rejects archive by biomedical and permits archive by admin.</x:v>
      </x:c>
      <x:c r="F29" s="20" t="str">
        <x:v>Section 5 - Person A</x:v>
      </x:c>
      <x:c r="G29" s="20" t="str">
        <x:v>To Do</x:v>
      </x:c>
      <x:c r="H29" s="20" t="str">
        <x:v>No</x:v>
      </x:c>
      <x:c r="I29" s="20" t="str">
        <x:v>Destroy route currently has no role guard.</x:v>
      </x:c>
      <x:c r="J29" s="20" t="str">
        <x:v>Person A</x:v>
      </x:c>
      <x:c r="K29" s="20" t="str">
        <x:v>Sprint 4</x:v>
      </x:c>
    </x:row>
    <x:row r="30" ht="41.25" customHeight="1">
      <x:c r="A30" s="20" t="str">
        <x:v>Person A</x:v>
      </x:c>
      <x:c r="B30" s="20" t="str">
        <x:v>Tests</x:v>
      </x:c>
      <x:c r="C30" s="20" t="str">
        <x:v>P1</x:v>
      </x:c>
      <x:c r="D30" s="20" t="str">
        <x:v>Test invalid status transition is rejected</x:v>
      </x:c>
      <x:c r="E30" s="20" t="str">
        <x:v>Direct jump or forbidden transition is blocked and not historized as valid.</x:v>
      </x:c>
      <x:c r="F30" s="20" t="str">
        <x:v>Section 5 - Person A</x:v>
      </x:c>
      <x:c r="G30" s="20" t="str">
        <x:v>To Do</x:v>
      </x:c>
      <x:c r="H30" s="20" t="str">
        <x:v>No</x:v>
      </x:c>
      <x:c r="I30" s="20" t="str">
        <x:v>No transition service or tests exist.</x:v>
      </x:c>
      <x:c r="J30" s="20" t="str">
        <x:v>Person A</x:v>
      </x:c>
      <x:c r="K30" s="20" t="str">
        <x:v>Sprint 4</x:v>
      </x:c>
    </x:row>
    <x:row r="31" ht="41.25" customHeight="1">
      <x:c r="A31" s="20" t="str">
        <x:v>Person A</x:v>
      </x:c>
      <x:c r="B31" s="20" t="str">
        <x:v>Tests</x:v>
      </x:c>
      <x:c r="C31" s="20" t="str">
        <x:v>P1</x:v>
      </x:c>
      <x:c r="D31" s="20" t="str">
        <x:v>Test dashboard numbers match seeded data</x:v>
      </x:c>
      <x:c r="E31" s="20" t="str">
        <x:v>Dashboard KPI values match seeded demo dataset.</x:v>
      </x:c>
      <x:c r="F31" s="20" t="str">
        <x:v>Section 5 - Person A</x:v>
      </x:c>
      <x:c r="G31" s="20" t="str">
        <x:v>To Do</x:v>
      </x:c>
      <x:c r="H31" s="20" t="str">
        <x:v>No</x:v>
      </x:c>
      <x:c r="I31" s="20" t="str">
        <x:v>No dashboard or seeded KPI test data exists.</x:v>
      </x:c>
      <x:c r="J31" s="20" t="str">
        <x:v>Person A</x:v>
      </x:c>
      <x:c r="K31" s="20" t="str">
        <x:v>Sprint 4</x:v>
      </x:c>
    </x:row>
    <x:row r="32" ht="41.25" customHeight="1">
      <x:c r="A32" s="20" t="str">
        <x:v>Person B</x:v>
      </x:c>
      <x:c r="B32" s="20" t="str">
        <x:v>Cath Profile</x:v>
      </x:c>
      <x:c r="C32" s="20" t="str">
        <x:v>P0</x:v>
      </x:c>
      <x:c r="D32" s="20" t="str">
        <x:v>Clean up Cath migration and model</x:v>
      </x:c>
      <x:c r="E32" s="20" t="str">
        <x:v>Cath profile uses foreign key, one-to-one uniqueness, casts, and relationship consistency.</x:v>
      </x:c>
      <x:c r="F32" s="20" t="str">
        <x:v>Section 5 - Person B</x:v>
      </x:c>
      <x:c r="G32" s="20" t="str">
        <x:v>Partial</x:v>
      </x:c>
      <x:c r="H32" s="20" t="str">
        <x:v>Partial</x:v>
      </x:c>
      <x:c r="I32" s="20" t="str">
        <x:v>ProfilCatLab model/controller exist; migration lacks constrained FK/unique constraint.</x:v>
      </x:c>
      <x:c r="J32" s="20" t="str">
        <x:v>Person B</x:v>
      </x:c>
      <x:c r="K32" s="20" t="str">
        <x:v>Sprint 2</x:v>
      </x:c>
    </x:row>
    <x:row r="33" ht="41.25" customHeight="1">
      <x:c r="A33" s="20" t="str">
        <x:v>Person B</x:v>
      </x:c>
      <x:c r="B33" s="20" t="str">
        <x:v>Cath Profile</x:v>
      </x:c>
      <x:c r="C33" s="20" t="str">
        <x:v>P0</x:v>
      </x:c>
      <x:c r="D33" s="20" t="str">
        <x:v>Add Cath validation rules</x:v>
      </x:c>
      <x:c r="E33" s="20" t="str">
        <x:v>Cath required fields block validation/operational status when missing.</x:v>
      </x:c>
      <x:c r="F33" s="20" t="str">
        <x:v>Section 5 - Person B</x:v>
      </x:c>
      <x:c r="G33" s="20" t="str">
        <x:v>To Do</x:v>
      </x:c>
      <x:c r="H33" s="20" t="str">
        <x:v>No</x:v>
      </x:c>
      <x:c r="I33" s="20" t="str">
        <x:v>Cath controller validates profile only in separate route; parent flow ignores it.</x:v>
      </x:c>
      <x:c r="J33" s="20" t="str">
        <x:v>Person B</x:v>
      </x:c>
      <x:c r="K33" s="20" t="str">
        <x:v>Sprint 2</x:v>
      </x:c>
    </x:row>
    <x:row r="34" ht="41.25" customHeight="1">
      <x:c r="A34" s="20" t="str">
        <x:v>Person B</x:v>
      </x:c>
      <x:c r="B34" s="20" t="str">
        <x:v>Cath Profile</x:v>
      </x:c>
      <x:c r="C34" s="20" t="str">
        <x:v>P0</x:v>
      </x:c>
      <x:c r="D34" s="20" t="str">
        <x:v>Add Cath fields to create/edit flow</x:v>
      </x:c>
      <x:c r="E34" s="20" t="str">
        <x:v>Selecting CATHETERISME displays and saves Cath-specific fields in the parent installation form.</x:v>
      </x:c>
      <x:c r="F34" s="20" t="str">
        <x:v>Section 5 - Person B</x:v>
      </x:c>
      <x:c r="G34" s="20" t="str">
        <x:v>To Do</x:v>
      </x:c>
      <x:c r="H34" s="20" t="str">
        <x:v>No</x:v>
      </x:c>
      <x:c r="I34" s="20" t="str">
        <x:v>Installation create/edit forms do not include Cath fields.</x:v>
      </x:c>
      <x:c r="J34" s="20" t="str">
        <x:v>Person B</x:v>
      </x:c>
      <x:c r="K34" s="20" t="str">
        <x:v>Sprint 2</x:v>
      </x:c>
    </x:row>
    <x:row r="35" ht="41.25" customHeight="1">
      <x:c r="A35" s="20" t="str">
        <x:v>Person B</x:v>
      </x:c>
      <x:c r="B35" s="20" t="str">
        <x:v>Cath Profile</x:v>
      </x:c>
      <x:c r="C35" s="20" t="str">
        <x:v>P0</x:v>
      </x:c>
      <x:c r="D35" s="20" t="str">
        <x:v>Display Cath tab on detail page</x:v>
      </x:c>
      <x:c r="E35" s="20" t="str">
        <x:v>Detail page shows Cath profile values when installation type is CATHETERISME.</x:v>
      </x:c>
      <x:c r="F35" s="20" t="str">
        <x:v>Section 5 - Person B</x:v>
      </x:c>
      <x:c r="G35" s="20" t="str">
        <x:v>Partial</x:v>
      </x:c>
      <x:c r="H35" s="20" t="str">
        <x:v>Partial</x:v>
      </x:c>
      <x:c r="I35" s="20" t="str">
        <x:v>Show page displays Cath details if profile exists, but parent create/update does not create it.</x:v>
      </x:c>
      <x:c r="J35" s="20" t="str">
        <x:v>Person B</x:v>
      </x:c>
      <x:c r="K35" s="20" t="str">
        <x:v>Sprint 2</x:v>
      </x:c>
    </x:row>
    <x:row r="36" ht="41.25" customHeight="1">
      <x:c r="A36" s="20" t="str">
        <x:v>Person B</x:v>
      </x:c>
      <x:c r="B36" s="20" t="str">
        <x:v>Cath Profile</x:v>
      </x:c>
      <x:c r="C36" s="20" t="str">
        <x:v>P1</x:v>
      </x:c>
      <x:c r="D36" s="20" t="str">
        <x:v>Define required documents for Cath</x:v>
      </x:c>
      <x:c r="E36" s="20" t="str">
        <x:v>Cath checklist includes reception report, quality control, radioprotection documents, prevention plan, and technical reports.</x:v>
      </x:c>
      <x:c r="F36" s="20" t="str">
        <x:v>Section 5 - Person B</x:v>
      </x:c>
      <x:c r="G36" s="20" t="str">
        <x:v>To Do</x:v>
      </x:c>
      <x:c r="H36" s="20" t="str">
        <x:v>No</x:v>
      </x:c>
      <x:c r="I36" s="20" t="str">
        <x:v>No required-document rules by profile exist.</x:v>
      </x:c>
      <x:c r="J36" s="20" t="str">
        <x:v>Person B</x:v>
      </x:c>
      <x:c r="K36" s="20" t="str">
        <x:v>Sprint 3</x:v>
      </x:c>
    </x:row>
    <x:row r="37" ht="41.25" customHeight="1">
      <x:c r="A37" s="20" t="str">
        <x:v>Person B</x:v>
      </x:c>
      <x:c r="B37" s="20" t="str">
        <x:v>Documents</x:v>
      </x:c>
      <x:c r="C37" s="20" t="str">
        <x:v>P0</x:v>
      </x:c>
      <x:c r="D37" s="20" t="str">
        <x:v>Add DMS-compatible document metadata fields</x:v>
      </x:c>
      <x:c r="E37" s="20" t="str">
        <x:v>Document table supports DMS id, profile type, file/url fallback, active flag, uploader, and replacement link.</x:v>
      </x:c>
      <x:c r="F37" s="20" t="str">
        <x:v>Section 5 - Person B</x:v>
      </x:c>
      <x:c r="G37" s="20" t="str">
        <x:v>Partial</x:v>
      </x:c>
      <x:c r="H37" s="20" t="str">
        <x:v>Partial</x:v>
      </x:c>
      <x:c r="I37" s="20" t="str">
        <x:v>Document table/controller exist but only category/version/status/blocking fields are stored.</x:v>
      </x:c>
      <x:c r="J37" s="20" t="str">
        <x:v>Person B</x:v>
      </x:c>
      <x:c r="K37" s="20" t="str">
        <x:v>Sprint 2</x:v>
      </x:c>
    </x:row>
    <x:row r="38" ht="41.25" customHeight="1">
      <x:c r="A38" s="20" t="str">
        <x:v>Person B</x:v>
      </x:c>
      <x:c r="B38" s="20" t="str">
        <x:v>Documents</x:v>
      </x:c>
      <x:c r="C38" s="20" t="str">
        <x:v>P1</x:v>
      </x:c>
      <x:c r="D38" s="20" t="str">
        <x:v>Enforce active version rule for blocking docs</x:v>
      </x:c>
      <x:c r="E38" s="20" t="str">
        <x:v>Only one active version exists per blocking document category/profile/installation.</x:v>
      </x:c>
      <x:c r="F38" s="20" t="str">
        <x:v>Section 5 - Person B</x:v>
      </x:c>
      <x:c r="G38" s="20" t="str">
        <x:v>To Do</x:v>
      </x:c>
      <x:c r="H38" s="20" t="str">
        <x:v>No</x:v>
      </x:c>
      <x:c r="I38" s="20" t="str">
        <x:v>No active-version concept exists.</x:v>
      </x:c>
      <x:c r="J38" s="20" t="str">
        <x:v>Person B</x:v>
      </x:c>
      <x:c r="K38" s="20" t="str">
        <x:v>Sprint 3</x:v>
      </x:c>
    </x:row>
    <x:row r="39" ht="41.25" customHeight="1">
      <x:c r="A39" s="20" t="str">
        <x:v>Person B</x:v>
      </x:c>
      <x:c r="B39" s="20" t="str">
        <x:v>Documents</x:v>
      </x:c>
      <x:c r="C39" s="20" t="str">
        <x:v>P0</x:v>
      </x:c>
      <x:c r="D39" s="20" t="str">
        <x:v>Improve document status display</x:v>
      </x:c>
      <x:c r="E39" s="20" t="str">
        <x:v>Detail page and document list show document category, version, status, blocking flag, and DMS/file reference.</x:v>
      </x:c>
      <x:c r="F39" s="20" t="str">
        <x:v>Section 5 - Person B</x:v>
      </x:c>
      <x:c r="G39" s="20" t="str">
        <x:v>Partial</x:v>
      </x:c>
      <x:c r="H39" s="20" t="str">
        <x:v>Partial</x:v>
      </x:c>
      <x:c r="I39" s="20" t="str">
        <x:v>Current display shows category/version/status/blocking but no DMS/file reference.</x:v>
      </x:c>
      <x:c r="J39" s="20" t="str">
        <x:v>Person B</x:v>
      </x:c>
      <x:c r="K39" s="20" t="str">
        <x:v>Sprint 2</x:v>
      </x:c>
    </x:row>
    <x:row r="40" ht="41.25" customHeight="1">
      <x:c r="A40" s="20" t="str">
        <x:v>Person B</x:v>
      </x:c>
      <x:c r="B40" s="20" t="str">
        <x:v>Documents</x:v>
      </x:c>
      <x:c r="C40" s="20" t="str">
        <x:v>P1</x:v>
      </x:c>
      <x:c r="D40" s="20" t="str">
        <x:v>Add missing required-document detection</x:v>
      </x:c>
      <x:c r="E40" s="20" t="str">
        <x:v>List/detail/dashboard can flag installations missing required blocking documents.</x:v>
      </x:c>
      <x:c r="F40" s="20" t="str">
        <x:v>Section 5 - Person B</x:v>
      </x:c>
      <x:c r="G40" s="20" t="str">
        <x:v>To Do</x:v>
      </x:c>
      <x:c r="H40" s="20" t="str">
        <x:v>No</x:v>
      </x:c>
      <x:c r="I40" s="20" t="str">
        <x:v>No missing-document logic exists.</x:v>
      </x:c>
      <x:c r="J40" s="20" t="str">
        <x:v>Person B</x:v>
      </x:c>
      <x:c r="K40" s="20" t="str">
        <x:v>Sprint 3</x:v>
      </x:c>
    </x:row>
    <x:row r="41" ht="41.25" customHeight="1">
      <x:c r="A41" s="20" t="str">
        <x:v>Person B</x:v>
      </x:c>
      <x:c r="B41" s="20" t="str">
        <x:v>Equipment Links</x:v>
      </x:c>
      <x:c r="C41" s="20" t="str">
        <x:v>P0</x:v>
      </x:c>
      <x:c r="D41" s="20" t="str">
        <x:v>Display main equipment by relation</x:v>
      </x:c>
      <x:c r="E41" s="20" t="str">
        <x:v>Detail/list show equipment code and designation, not only raw equipment_principal_id.</x:v>
      </x:c>
      <x:c r="F41" s="20" t="str">
        <x:v>Section 5 - Person B</x:v>
      </x:c>
      <x:c r="G41" s="20" t="str">
        <x:v>To Do</x:v>
      </x:c>
      <x:c r="H41" s="20" t="str">
        <x:v>No</x:v>
      </x:c>
      <x:c r="I41" s="20" t="str">
        <x:v>Detail page displays raw equipment principal ID.</x:v>
      </x:c>
      <x:c r="J41" s="20" t="str">
        <x:v>Person B</x:v>
      </x:c>
      <x:c r="K41" s="20" t="str">
        <x:v>Sprint 2</x:v>
      </x:c>
    </x:row>
    <x:row r="42" ht="41.25" customHeight="1">
      <x:c r="A42" s="20" t="str">
        <x:v>Person B</x:v>
      </x:c>
      <x:c r="B42" s="20" t="str">
        <x:v>Equipment Links</x:v>
      </x:c>
      <x:c r="C42" s="20" t="str">
        <x:v>P0</x:v>
      </x:c>
      <x:c r="D42" s="20" t="str">
        <x:v>Constrain secondary equipment pivot</x:v>
      </x:c>
      <x:c r="E42" s="20" t="str">
        <x:v>Pivot has foreign keys, no duplicate installation/equipment pair, and clear role values.</x:v>
      </x:c>
      <x:c r="F42" s="20" t="str">
        <x:v>Section 5 - Person B</x:v>
      </x:c>
      <x:c r="G42" s="20" t="str">
        <x:v>Partial</x:v>
      </x:c>
      <x:c r="H42" s="20" t="str">
        <x:v>Partial</x:v>
      </x:c>
      <x:c r="I42" s="20" t="str">
        <x:v>Pivot table exists but lacks explicit constraints.</x:v>
      </x:c>
      <x:c r="J42" s="20" t="str">
        <x:v>Person B</x:v>
      </x:c>
      <x:c r="K42" s="20" t="str">
        <x:v>Sprint 2</x:v>
      </x:c>
    </x:row>
    <x:row r="43" ht="41.25" customHeight="1">
      <x:c r="A43" s="20" t="str">
        <x:v>Person B</x:v>
      </x:c>
      <x:c r="B43" s="20" t="str">
        <x:v>Equipment Links</x:v>
      </x:c>
      <x:c r="C43" s="20" t="str">
        <x:v>P0</x:v>
      </x:c>
      <x:c r="D43" s="20" t="str">
        <x:v>Show sub-equipment through linked equipment</x:v>
      </x:c>
      <x:c r="E43" s="20" t="str">
        <x:v>Sub-equipment remains sourced from existing equipment relation and is visible from installation detail.</x:v>
      </x:c>
      <x:c r="F43" s="20" t="str">
        <x:v>Section 5 - Person B</x:v>
      </x:c>
      <x:c r="G43" s="20" t="str">
        <x:v>To Do</x:v>
      </x:c>
      <x:c r="H43" s="20" t="str">
        <x:v>No</x:v>
      </x:c>
      <x:c r="I43" s="20" t="str">
        <x:v>Installation detail lists linked equipment only, not sub-equipment through equipment.</x:v>
      </x:c>
      <x:c r="J43" s="20" t="str">
        <x:v>Person B</x:v>
      </x:c>
      <x:c r="K43" s="20" t="str">
        <x:v>Sprint 3</x:v>
      </x:c>
    </x:row>
    <x:row r="44" ht="41.25" customHeight="1">
      <x:c r="A44" s="20" t="str">
        <x:v>Person B</x:v>
      </x:c>
      <x:c r="B44" s="20" t="str">
        <x:v>Calendar</x:v>
      </x:c>
      <x:c r="C44" s="20" t="str">
        <x:v>P1</x:v>
      </x:c>
      <x:c r="D44" s="20" t="str">
        <x:v>Add installation planning dates</x:v>
      </x:c>
      <x:c r="E44" s="20" t="str">
        <x:v>Installation stores planned and optional actual start/end dates for calendar tracking.</x:v>
      </x:c>
      <x:c r="F44" s="20" t="str">
        <x:v>Section 5 - Person B</x:v>
      </x:c>
      <x:c r="G44" s="20" t="str">
        <x:v>To Do</x:v>
      </x:c>
      <x:c r="H44" s="20" t="str">
        <x:v>No</x:v>
      </x:c>
      <x:c r="I44" s="20" t="str">
        <x:v>Installations table has no planning date fields.</x:v>
      </x:c>
      <x:c r="J44" s="20" t="str">
        <x:v>Person B</x:v>
      </x:c>
      <x:c r="K44" s="20" t="str">
        <x:v>Sprint 3</x:v>
      </x:c>
    </x:row>
    <x:row r="45" ht="41.25" customHeight="1">
      <x:c r="A45" s="20" t="str">
        <x:v>Person B</x:v>
      </x:c>
      <x:c r="B45" s="20" t="str">
        <x:v>Calendar</x:v>
      </x:c>
      <x:c r="C45" s="20" t="str">
        <x:v>P1</x:v>
      </x:c>
      <x:c r="D45" s="20" t="str">
        <x:v>Build calendar controller query by month</x:v>
      </x:c>
      <x:c r="E45" s="20" t="str">
        <x:v>Calendar route returns installations planned for selected month with previous/next navigation.</x:v>
      </x:c>
      <x:c r="F45" s="20" t="str">
        <x:v>Section 5 - Person B</x:v>
      </x:c>
      <x:c r="G45" s="20" t="str">
        <x:v>To Do</x:v>
      </x:c>
      <x:c r="H45" s="20" t="str">
        <x:v>No</x:v>
      </x:c>
      <x:c r="I45" s="20" t="str">
        <x:v>No calendar route/controller found.</x:v>
      </x:c>
      <x:c r="J45" s="20" t="str">
        <x:v>Person B</x:v>
      </x:c>
      <x:c r="K45" s="20" t="str">
        <x:v>Sprint 3</x:v>
      </x:c>
    </x:row>
    <x:row r="46" ht="41.25" customHeight="1">
      <x:c r="A46" s="20" t="str">
        <x:v>Person B</x:v>
      </x:c>
      <x:c r="B46" s="20" t="str">
        <x:v>Calendar</x:v>
      </x:c>
      <x:c r="C46" s="20" t="str">
        <x:v>P1</x:v>
      </x:c>
      <x:c r="D46" s="20" t="str">
        <x:v>Create monthly calendar or grouped-list view</x:v>
      </x:c>
      <x:c r="E46" s="20" t="str">
        <x:v>Corporate internal calendar view shows code, name, profile, status, client/site for selected month.</x:v>
      </x:c>
      <x:c r="F46" s="20" t="str">
        <x:v>Section 5 - Person B</x:v>
      </x:c>
      <x:c r="G46" s="20" t="str">
        <x:v>To Do</x:v>
      </x:c>
      <x:c r="H46" s="20" t="str">
        <x:v>No</x:v>
      </x:c>
      <x:c r="I46" s="20" t="str">
        <x:v>No calendar view exists.</x:v>
      </x:c>
      <x:c r="J46" s="20" t="str">
        <x:v>Person B</x:v>
      </x:c>
      <x:c r="K46" s="20" t="str">
        <x:v>Sprint 3</x:v>
      </x:c>
    </x:row>
    <x:row r="47" ht="41.25" customHeight="1">
      <x:c r="A47" s="20" t="str">
        <x:v>Person B</x:v>
      </x:c>
      <x:c r="B47" s="20" t="str">
        <x:v>Tests</x:v>
      </x:c>
      <x:c r="C47" s="20" t="str">
        <x:v>P1</x:v>
      </x:c>
      <x:c r="D47" s="20" t="str">
        <x:v>Test Cath installation saves child profile</x:v>
      </x:c>
      <x:c r="E47" s="20" t="str">
        <x:v>Feature test proves parent create/update saves Cath child profile.</x:v>
      </x:c>
      <x:c r="F47" s="20" t="str">
        <x:v>Section 5 - Person B</x:v>
      </x:c>
      <x:c r="G47" s="20" t="str">
        <x:v>To Do</x:v>
      </x:c>
      <x:c r="H47" s="20" t="str">
        <x:v>No</x:v>
      </x:c>
      <x:c r="I47" s="20" t="str">
        <x:v>No Cath profile feature tests exist.</x:v>
      </x:c>
      <x:c r="J47" s="20" t="str">
        <x:v>Person B</x:v>
      </x:c>
      <x:c r="K47" s="20" t="str">
        <x:v>Sprint 4</x:v>
      </x:c>
    </x:row>
    <x:row r="48" ht="41.25" customHeight="1">
      <x:c r="A48" s="20" t="str">
        <x:v>Person B</x:v>
      </x:c>
      <x:c r="B48" s="20" t="str">
        <x:v>Tests</x:v>
      </x:c>
      <x:c r="C48" s="20" t="str">
        <x:v>P1</x:v>
      </x:c>
      <x:c r="D48" s="20" t="str">
        <x:v>Test wrong profile child cannot be attached</x:v>
      </x:c>
      <x:c r="E48" s="20" t="str">
        <x:v>Cath data cannot attach to MRI installation and MRI data cannot attach to Cath installation.</x:v>
      </x:c>
      <x:c r="F48" s="20" t="str">
        <x:v>Section 5 - Person B</x:v>
      </x:c>
      <x:c r="G48" s="20" t="str">
        <x:v>To Do</x:v>
      </x:c>
      <x:c r="H48" s="20" t="str">
        <x:v>No</x:v>
      </x:c>
      <x:c r="I48" s="20" t="str">
        <x:v>No profile mismatch guard exists.</x:v>
      </x:c>
      <x:c r="J48" s="20" t="str">
        <x:v>Person B</x:v>
      </x:c>
      <x:c r="K48" s="20" t="str">
        <x:v>Sprint 4</x:v>
      </x:c>
    </x:row>
    <x:row r="49" ht="41.25" customHeight="1">
      <x:c r="A49" s="20" t="str">
        <x:v>Person B</x:v>
      </x:c>
      <x:c r="B49" s="20" t="str">
        <x:v>Tests</x:v>
      </x:c>
      <x:c r="C49" s="20" t="str">
        <x:v>P1</x:v>
      </x:c>
      <x:c r="D49" s="20" t="str">
        <x:v>Test document attach/blocking/missing logic</x:v>
      </x:c>
      <x:c r="E49" s="20" t="str">
        <x:v>Tests cover document attachment, blocking flag, active version, and missing required document status.</x:v>
      </x:c>
      <x:c r="F49" s="20" t="str">
        <x:v>Section 5 - Person B</x:v>
      </x:c>
      <x:c r="G49" s="20" t="str">
        <x:v>To Do</x:v>
      </x:c>
      <x:c r="H49" s="20" t="str">
        <x:v>No</x:v>
      </x:c>
      <x:c r="I49" s="20" t="str">
        <x:v>No document workflow tests exist.</x:v>
      </x:c>
      <x:c r="J49" s="20" t="str">
        <x:v>Person B</x:v>
      </x:c>
      <x:c r="K49" s="20" t="str">
        <x:v>Sprint 4</x:v>
      </x:c>
    </x:row>
    <x:row r="50" ht="41.25" customHeight="1">
      <x:c r="A50" s="20" t="str">
        <x:v>Person B</x:v>
      </x:c>
      <x:c r="B50" s="20" t="str">
        <x:v>Tests</x:v>
      </x:c>
      <x:c r="C50" s="20" t="str">
        <x:v>P1</x:v>
      </x:c>
      <x:c r="D50" s="20" t="str">
        <x:v>Test calendar selected month</x:v>
      </x:c>
      <x:c r="E50" s="20" t="str">
        <x:v>Calendar only shows installations planned in the requested month.</x:v>
      </x:c>
      <x:c r="F50" s="20" t="str">
        <x:v>Section 5 - Person B</x:v>
      </x:c>
      <x:c r="G50" s="20" t="str">
        <x:v>To Do</x:v>
      </x:c>
      <x:c r="H50" s="20" t="str">
        <x:v>No</x:v>
      </x:c>
      <x:c r="I50" s="20" t="str">
        <x:v>No calendar feature exists.</x:v>
      </x:c>
      <x:c r="J50" s="20" t="str">
        <x:v>Person B</x:v>
      </x:c>
      <x:c r="K50" s="20" t="str">
        <x:v>Sprint 4</x:v>
      </x:c>
    </x:row>
    <x:row r="51" ht="41.25" customHeight="1">
      <x:c r="A51" s="20" t="str">
        <x:v>Optional</x:v>
      </x:c>
      <x:c r="B51" s="20" t="str">
        <x:v>Future Scope</x:v>
      </x:c>
      <x:c r="C51" s="20" t="str">
        <x:v>P2</x:v>
      </x:c>
      <x:c r="D51" s="20" t="str">
        <x:v>Manager validation workflow</x:v>
      </x:c>
      <x:c r="E51" s="20" t="str">
        <x:v>Manager validation remains disabled unless Philips confirms activation.</x:v>
      </x:c>
      <x:c r="F51" s="20" t="str">
        <x:v>Section 3 - P2 Backlog</x:v>
      </x:c>
      <x:c r="G51" s="20" t="str">
        <x:v>Deferred</x:v>
      </x:c>
      <x:c r="H51" s="20" t="str">
        <x:v>N/A</x:v>
      </x:c>
      <x:c r="I51" s="20" t="str">
        <x:v>PRD marks manager optional; do not block POC on this.</x:v>
      </x:c>
      <x:c r="J51" s="20" t="str">
        <x:v>Person A</x:v>
      </x:c>
      <x:c r="K51" s="20" t="str">
        <x:v>Optional</x:v>
      </x:c>
    </x:row>
    <x:row r="52" ht="41.25" customHeight="1">
      <x:c r="A52" s="20" t="str">
        <x:v>Optional</x:v>
      </x:c>
      <x:c r="B52" s="20" t="str">
        <x:v>Future Scope</x:v>
      </x:c>
      <x:c r="C52" s="20" t="str">
        <x:v>P2</x:v>
      </x:c>
      <x:c r="D52" s="20" t="str">
        <x:v>Export CSV or Excel</x:v>
      </x:c>
      <x:c r="E52" s="20" t="str">
        <x:v>Filtered installation list can export if time allows.</x:v>
      </x:c>
      <x:c r="F52" s="20" t="str">
        <x:v>Section 3 - P2 Backlog</x:v>
      </x:c>
      <x:c r="G52" s="20" t="str">
        <x:v>Deferred</x:v>
      </x:c>
      <x:c r="H52" s="20" t="str">
        <x:v>N/A</x:v>
      </x:c>
      <x:c r="I52" s="20" t="str">
        <x:v>Should not outrank profile, roles, documents, dashboard, or calendar.</x:v>
      </x:c>
      <x:c r="J52" s="20" t="str">
        <x:v>Shared</x:v>
      </x:c>
      <x:c r="K52" s="20" t="str">
        <x:v>Optional</x:v>
      </x:c>
    </x:row>
    <x:row r="53" ht="41.25" customHeight="1">
      <x:c r="A53" s="20" t="str">
        <x:v>Optional</x:v>
      </x:c>
      <x:c r="B53" s="20" t="str">
        <x:v>Budget and Time</x:v>
      </x:c>
      <x:c r="C53" s="20" t="str">
        <x:v>P2</x:v>
      </x:c>
      <x:c r="D53" s="20" t="str">
        <x:v>Add optional budget fields if confirmed</x:v>
      </x:c>
      <x:c r="E53" s="20" t="str">
        <x:v>budget_prevu, budget_reel, and devise are added only after stakeholder confirmation.</x:v>
      </x:c>
      <x:c r="F53" s="20" t="str">
        <x:v>Section 7 - Budget and Time</x:v>
      </x:c>
      <x:c r="G53" s="20" t="str">
        <x:v>Deferred</x:v>
      </x:c>
      <x:c r="H53" s="20" t="str">
        <x:v>N/A</x:v>
      </x:c>
      <x:c r="I53" s="20" t="str">
        <x:v>Current PRD/scope/tables do not require financial budget.</x:v>
      </x:c>
      <x:c r="J53" s="20" t="str">
        <x:v>Shared</x:v>
      </x:c>
      <x:c r="K53" s="20" t="str">
        <x:v>Optional</x:v>
      </x:c>
    </x:row>
    <x:row r="54" ht="41.25" customHeight="1">
      <x:c r="A54" s="20" t="str">
        <x:v>Optional</x:v>
      </x:c>
      <x:c r="B54" s="20" t="str">
        <x:v>Budget and Time</x:v>
      </x:c>
      <x:c r="C54" s="20" t="str">
        <x:v>P2</x:v>
      </x:c>
      <x:c r="D54" s="20" t="str">
        <x:v>Add optional time/duration fields if confirmed</x:v>
      </x:c>
      <x:c r="E54" s="20" t="str">
        <x:v>temps_prevu_heures, temps_reel_heures, planned dates, and actual dates are added only as confirmed scope.</x:v>
      </x:c>
      <x:c r="F54" s="20" t="str">
        <x:v>Section 7 - Budget and Time</x:v>
      </x:c>
      <x:c r="G54" s="20" t="str">
        <x:v>Deferred</x:v>
      </x:c>
      <x:c r="H54" s="20" t="str">
        <x:v>N/A</x:v>
      </x:c>
      <x:c r="I54" s="20" t="str">
        <x:v>Calendar needs planning dates; full effort tracking is optional.</x:v>
      </x:c>
      <x:c r="J54" s="20" t="str">
        <x:v>Shared</x:v>
      </x:c>
      <x:c r="K54" s="20" t="str">
        <x:v>Optional</x:v>
      </x:c>
    </x:row>
    <x:row r="55" ht="41.25" customHeight="1">
      <x:c r="A55" s="20" t="str">
        <x:v>Optional</x:v>
      </x:c>
      <x:c r="B55" s="20" t="str">
        <x:v>Documents</x:v>
      </x:c>
      <x:c r="C55" s="20" t="str">
        <x:v>P2</x:v>
      </x:c>
      <x:c r="D55" s="20" t="str">
        <x:v>Full DMS versioning integration</x:v>
      </x:c>
      <x:c r="E55" s="20" t="str">
        <x:v>Use real DMS versioning if structure is confirmed and quickly exploitable.</x:v>
      </x:c>
      <x:c r="F55" s="20" t="str">
        <x:v>Section 3 - P2 Backlog</x:v>
      </x:c>
      <x:c r="G55" s="20" t="str">
        <x:v>Deferred</x:v>
      </x:c>
      <x:c r="H55" s="20" t="str">
        <x:v>N/A</x:v>
      </x:c>
      <x:c r="I55" s="20" t="str">
        <x:v>POC table fallback is acceptable.</x:v>
      </x:c>
      <x:c r="J55" s="20" t="str">
        <x:v>Person B</x:v>
      </x:c>
      <x:c r="K55" s="20" t="str">
        <x:v>Optional</x:v>
      </x:c>
    </x:row>
    <x:row r="56" ht="41.25" customHeight="1">
      <x:c r="A56" s="20" t="str">
        <x:v>Optional</x:v>
      </x:c>
      <x:c r="B56" s="20" t="str">
        <x:v>Audit</x:v>
      </x:c>
      <x:c r="C56" s="20" t="str">
        <x:v>P2</x:v>
      </x:c>
      <x:c r="D56" s="20" t="str">
        <x:v>Audit log beyond status/document events</x:v>
      </x:c>
      <x:c r="E56" s="20" t="str">
        <x:v>Critical field changes, validation, replacement, and archive events are logged in a dedicated audit table if time allows.</x:v>
      </x:c>
      <x:c r="F56" s="20" t="str">
        <x:v>Section 3 - P2 Backlog</x:v>
      </x:c>
      <x:c r="G56" s="20" t="str">
        <x:v>Deferred</x:v>
      </x:c>
      <x:c r="H56" s="20" t="str">
        <x:v>N/A</x:v>
      </x:c>
      <x:c r="I56" s="20" t="str">
        <x:v>Status history exists partially; full audit is future scope.</x:v>
      </x:c>
      <x:c r="J56" s="20" t="str">
        <x:v>Shared</x:v>
      </x:c>
      <x:c r="K56" s="20" t="str">
        <x:v>Optional</x:v>
      </x:c>
    </x:row>
    <x:row r="57" ht="41.25" customHeight="1">
      <x:c r="A57" s="20" t="str">
        <x:v>Optional</x:v>
      </x:c>
      <x:c r="B57" s="20" t="str">
        <x:v>Interventions</x:v>
      </x:c>
      <x:c r="C57" s="20" t="str">
        <x:v>P2</x:v>
      </x:c>
      <x:c r="D57" s="20" t="str">
        <x:v>Integrate intervention table if found</x:v>
      </x:c>
      <x:c r="E57" s="20" t="str">
        <x:v>Open interventions can contribute to maintenance KPI if existing table is identified.</x:v>
      </x:c>
      <x:c r="F57" s="20" t="str">
        <x:v>Section 3 - P2 Backlog</x:v>
      </x:c>
      <x:c r="G57" s="20" t="str">
        <x:v>Deferred</x:v>
      </x:c>
      <x:c r="H57" s="20" t="str">
        <x:v>N/A</x:v>
      </x:c>
      <x:c r="I57" s="20" t="str">
        <x:v>PRD lists intervention table as an open question.</x:v>
      </x:c>
      <x:c r="J57" s="20" t="str">
        <x:v>Shared</x:v>
      </x:c>
      <x:c r="K57" s="20" t="str">
        <x:v>Optional</x:v>
      </x:c>
    </x:row>
  </x:sheetData>
  <x:mergeCells>
    <x:mergeCell ref="A1:K1"/>
    <x:mergeCell ref="A2:K2"/>
  </x:mergeCells>
  <x:conditionalFormatting sqref="C5:C57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G5:G57">
    <x:cfRule type="containsText" dxfId="3" priority="4" operator="containsText" text="Done"/>
    <x:cfRule type="containsText" dxfId="4" priority="5" operator="containsText" text="Deferred"/>
    <x:cfRule type="containsText" dxfId="5" priority="6" operator="containsText" text="Blocked"/>
  </x:conditionalFormatting>
  <x:conditionalFormatting sqref="H5:H57">
    <x:cfRule type="containsText" dxfId="6" priority="7" operator="containsText" text="Yes"/>
    <x:cfRule type="containsText" dxfId="7" priority="8" operator="containsText" text="No"/>
    <x:cfRule type="containsText" dxfId="8" priority="9" operator="containsText" text="Partial"/>
    <x:cfRule type="containsText" dxfId="9" priority="10" operator="containsText" text="N/A"/>
  </x:conditionalFormatting>
  <x:dataValidations count="4">
    <x:dataValidation type="list" sqref="G5:G57">
      <x:formula1>"To Do,In Progress,Partial,Blocked,Done,Deferred,Not Applicable"</x:formula1>
    </x:dataValidation>
    <x:dataValidation type="list" sqref="H5:H57">
      <x:formula1>"No,Partial,Yes,N/A"</x:formula1>
    </x:dataValidation>
    <x:dataValidation type="list" sqref="C5:C57">
      <x:formula1>"P0,P1,P2"</x:formula1>
    </x:dataValidation>
    <x:dataValidation type="list" sqref="A5:A57">
      <x:formula1>"Shared,Person A,Person B,Optional"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3bd7a2878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41.25" hidden="0" customWidth="1"/>
  </x:cols>
  <x:sheetData>
    <x:row r="1" ht="25.5" customHeight="1">
      <x:c r="A1" s="7" t="str">
        <x:v>POC Permission Matrix</x:v>
      </x:c>
    </x:row>
    <x:row r="2" ht="21" customHeight="1">
      <x:c r="A2" s="10" t="str">
        <x:v>Minimal internal roles from the PRD and backlog. Manager remains optional/read-only by default.</x:v>
      </x:c>
    </x:row>
    <x:row r="4">
      <x:c r="A4" s="101" t="str">
        <x:v>Action</x:v>
      </x:c>
      <x:c r="B4" s="101" t="str">
        <x:v>Admin</x:v>
      </x:c>
      <x:c r="C4" s="101" t="str">
        <x:v>Biomedical</x:v>
      </x:c>
      <x:c r="D4" s="101" t="str">
        <x:v>Manager Optional</x:v>
      </x:c>
      <x:c r="E4" s="101" t="str">
        <x:v>Implementation Note</x:v>
      </x:c>
    </x:row>
    <x:row r="5">
      <x:c r="A5" s="109" t="str">
        <x:v>View list/detail</x:v>
      </x:c>
      <x:c r="B5" s="109" t="str">
        <x:v>Yes</x:v>
      </x:c>
      <x:c r="C5" s="109" t="str">
        <x:v>Yes</x:v>
      </x:c>
      <x:c r="D5" s="109" t="str">
        <x:v>Yes</x:v>
      </x:c>
      <x:c r="E5" s="109" t="str">
        <x:v>All internal users can view if authenticated.</x:v>
      </x:c>
    </x:row>
    <x:row r="6">
      <x:c r="A6" s="109" t="str">
        <x:v>View KPIs/calendar</x:v>
      </x:c>
      <x:c r="B6" s="109" t="str">
        <x:v>Yes</x:v>
      </x:c>
      <x:c r="C6" s="109" t="str">
        <x:v>Yes</x:v>
      </x:c>
      <x:c r="D6" s="109" t="str">
        <x:v>Yes if enabled</x:v>
      </x:c>
      <x:c r="E6" s="109" t="str">
        <x:v>Manager only if Philips activates the role.</x:v>
      </x:c>
    </x:row>
    <x:row r="7">
      <x:c r="A7" s="109" t="str">
        <x:v>Create installation</x:v>
      </x:c>
      <x:c r="B7" s="109" t="str">
        <x:v>Yes</x:v>
      </x:c>
      <x:c r="C7" s="109" t="str">
        <x:v>Yes</x:v>
      </x:c>
      <x:c r="D7" s="109" t="str">
        <x:v>No</x:v>
      </x:c>
      <x:c r="E7" s="109" t="str">
        <x:v>Person A owns policy/middleware.</x:v>
      </x:c>
    </x:row>
    <x:row r="8">
      <x:c r="A8" s="109" t="str">
        <x:v>Edit common fields</x:v>
      </x:c>
      <x:c r="B8" s="109" t="str">
        <x:v>Yes</x:v>
      </x:c>
      <x:c r="C8" s="109" t="str">
        <x:v>Yes</x:v>
      </x:c>
      <x:c r="D8" s="109" t="str">
        <x:v>No</x:v>
      </x:c>
      <x:c r="E8" s="109" t="str">
        <x:v>Guard in update action and UI.</x:v>
      </x:c>
    </x:row>
    <x:row r="9">
      <x:c r="A9" s="109" t="str">
        <x:v>Edit profile fields</x:v>
      </x:c>
      <x:c r="B9" s="109" t="str">
        <x:v>Yes</x:v>
      </x:c>
      <x:c r="C9" s="109" t="str">
        <x:v>Yes</x:v>
      </x:c>
      <x:c r="D9" s="109" t="str">
        <x:v>No</x:v>
      </x:c>
      <x:c r="E9" s="109" t="str">
        <x:v>Applies to MRI and Cath child profiles.</x:v>
      </x:c>
    </x:row>
    <x:row r="10">
      <x:c r="A10" s="109" t="str">
        <x:v>Link equipment</x:v>
      </x:c>
      <x:c r="B10" s="109" t="str">
        <x:v>Yes</x:v>
      </x:c>
      <x:c r="C10" s="109" t="str">
        <x:v>Yes</x:v>
      </x:c>
      <x:c r="D10" s="109" t="str">
        <x:v>No</x:v>
      </x:c>
      <x:c r="E10" s="109" t="str">
        <x:v>Person B owns relation display and constraints.</x:v>
      </x:c>
    </x:row>
    <x:row r="11">
      <x:c r="A11" s="109" t="str">
        <x:v>Attach/replace document</x:v>
      </x:c>
      <x:c r="B11" s="109" t="str">
        <x:v>Yes</x:v>
      </x:c>
      <x:c r="C11" s="109" t="str">
        <x:v>Yes</x:v>
      </x:c>
      <x:c r="D11" s="109" t="str">
        <x:v>No</x:v>
      </x:c>
      <x:c r="E11" s="109" t="str">
        <x:v>Person B owns DMS fallback metadata.</x:v>
      </x:c>
    </x:row>
    <x:row r="12">
      <x:c r="A12" s="109" t="str">
        <x:v>Operational status changes</x:v>
      </x:c>
      <x:c r="B12" s="109" t="str">
        <x:v>Yes</x:v>
      </x:c>
      <x:c r="C12" s="109" t="str">
        <x:v>Yes</x:v>
      </x:c>
      <x:c r="D12" s="109" t="str">
        <x:v>Validation only if enabled</x:v>
      </x:c>
      <x:c r="E12" s="109" t="str">
        <x:v>Transition service owned by Person A.</x:v>
      </x:c>
    </x:row>
    <x:row r="13">
      <x:c r="A13" s="109" t="str">
        <x:v>Archive installation</x:v>
      </x:c>
      <x:c r="B13" s="109" t="str">
        <x:v>Yes</x:v>
      </x:c>
      <x:c r="C13" s="109" t="str">
        <x:v>No</x:v>
      </x:c>
      <x:c r="D13" s="109" t="str">
        <x:v>No</x:v>
      </x:c>
      <x:c r="E13" s="109" t="str">
        <x:v>Admin-only.</x:v>
      </x:c>
    </x:row>
    <x:row r="14">
      <x:c r="A14" s="109" t="str">
        <x:v>Manage users/roles</x:v>
      </x:c>
      <x:c r="B14" s="109" t="str">
        <x:v>Yes</x:v>
      </x:c>
      <x:c r="C14" s="109" t="str">
        <x:v>No</x:v>
      </x:c>
      <x:c r="D14" s="109" t="str">
        <x:v>No</x:v>
      </x:c>
      <x:c r="E14" s="109" t="str">
        <x:v>Keep simple for POC.</x:v>
      </x:c>
    </x:row>
  </x:sheetData>
  <x:mergeCells>
    <x:mergeCell ref="A1:E1"/>
    <x:mergeCell ref="A2:K2"/>
  </x:mergeCells>
  <x:pageMargins left="0.7" right="0.7" top="0.75" bottom="0.75" header="0.3" footer="0.3"/>
  <x:tableParts count="1">
    <x:tablePart xmlns:r="http://schemas.openxmlformats.org/officeDocument/2006/relationships" r:id="Ra1acda30f56441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81.25" hidden="0" customWidth="1"/>
  </x:cols>
  <x:sheetData>
    <x:row r="1" ht="25.5" customHeight="1">
      <x:c r="A1" s="7" t="str">
        <x:v>Git Snapshot for Checklist Push Column</x:v>
      </x:c>
    </x:row>
    <x:row r="2" ht="21" customHeight="1">
      <x:c r="A2" s="10" t="str">
        <x:v>Used to initialize the 'Pushed to Git Repo?' field. Update this sheet after each push.</x:v>
      </x:c>
    </x:row>
    <x:row r="4">
      <x:c r="A4" s="96" t="str">
        <x:v>Checked At</x:v>
      </x:c>
      <x:c r="B4" s="112" t="str">
        <x:v>2026-06-09</x:v>
      </x:c>
    </x:row>
    <x:row r="5">
      <x:c r="A5" s="96" t="str">
        <x:v>Current Branch</x:v>
      </x:c>
      <x:c r="B5" s="112" t="str">
        <x:v>main</x:v>
      </x:c>
    </x:row>
    <x:row r="6">
      <x:c r="A6" s="96" t="str">
        <x:v>Upstream</x:v>
      </x:c>
      <x:c r="B6" s="112" t="str">
        <x:v>origin/main</x:v>
      </x:c>
    </x:row>
    <x:row r="7">
      <x:c r="A7" s="96" t="str">
        <x:v>Remote</x:v>
      </x:c>
      <x:c r="B7" s="112" t="str">
        <x:v>https://github.com/ghaythmabrouk240-oss/extention_instalation.git</x:v>
      </x:c>
    </x:row>
    <x:row r="8">
      <x:c r="A8" s="96" t="str">
        <x:v>Status Summary</x:v>
      </x:c>
      <x:c r="B8" s="112" t="str">
        <x:v>Local workspace has uncommitted changes; no pushed implementation detected for the new checklist tasks.</x:v>
      </x:c>
    </x:row>
    <x:row r="9">
      <x:c r="A9" s="96" t="str">
        <x:v>Interpretation</x:v>
      </x:c>
      <x:c r="B9" s="112" t="str">
        <x:v>Rows marked Partial have baseline code present, but the requested checklist change is not fully pushed/completed.</x:v>
      </x:c>
    </x:row>
  </x:sheetData>
  <x:mergeCells>
    <x:mergeCell ref="A1:F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>
      <x:c r="A1" s="3" t="str">
        <x:v>Implementation Status</x:v>
      </x:c>
      <x:c r="B1" s="3" t="str">
        <x:v>Pushed Status</x:v>
      </x:c>
      <x:c r="C1" s="3" t="str">
        <x:v>Priority</x:v>
      </x:c>
      <x:c r="D1" s="3" t="str">
        <x:v>Owner</x:v>
      </x:c>
    </x:row>
    <x:row r="2">
      <x:c r="A2" s="4" t="str">
        <x:v>To Do</x:v>
      </x:c>
      <x:c r="B2" s="4" t="str">
        <x:v>No</x:v>
      </x:c>
      <x:c r="C2" s="4" t="str">
        <x:v>P0</x:v>
      </x:c>
      <x:c r="D2" s="4" t="str">
        <x:v>Shared</x:v>
      </x:c>
    </x:row>
    <x:row r="3">
      <x:c r="A3" s="4" t="str">
        <x:v>In Progress</x:v>
      </x:c>
      <x:c r="B3" s="4" t="str">
        <x:v>Partial</x:v>
      </x:c>
      <x:c r="C3" s="4" t="str">
        <x:v>P1</x:v>
      </x:c>
      <x:c r="D3" s="4" t="str">
        <x:v>Person A</x:v>
      </x:c>
    </x:row>
    <x:row r="4">
      <x:c r="A4" s="4" t="str">
        <x:v>Partial</x:v>
      </x:c>
      <x:c r="B4" s="4" t="str">
        <x:v>Yes</x:v>
      </x:c>
      <x:c r="C4" s="4" t="str">
        <x:v>P2</x:v>
      </x:c>
      <x:c r="D4" s="4" t="str">
        <x:v>Person B</x:v>
      </x:c>
    </x:row>
    <x:row r="5">
      <x:c r="A5" s="4" t="str">
        <x:v>Blocked</x:v>
      </x:c>
      <x:c r="B5" s="4" t="str">
        <x:v>N/A</x:v>
      </x:c>
      <x:c r="C5" s="4"/>
      <x:c r="D5" s="4" t="str">
        <x:v>Optional</x:v>
      </x:c>
    </x:row>
    <x:row r="6">
      <x:c r="A6" s="4" t="str">
        <x:v>Done</x:v>
      </x:c>
      <x:c r="B6" s="4"/>
      <x:c r="C6" s="4"/>
      <x:c r="D6" s="4" t="str">
        <x:v>Both</x:v>
      </x:c>
    </x:row>
    <x:row r="7">
      <x:c r="A7" s="4" t="str">
        <x:v>Deferred</x:v>
      </x:c>
      <x:c r="B7" s="4"/>
      <x:c r="C7" s="4"/>
      <x:c r="D7" s="4"/>
    </x:row>
    <x:row r="8">
      <x:c r="A8" s="4" t="str">
        <x:v>Not Applicable</x:v>
      </x:c>
      <x:c r="B8" s="4"/>
      <x:c r="C8" s="4"/>
      <x:c r="D8" s="4"/>
    </x:row>
  </x:sheetData>
  <x:pageMargins left="0.7" right="0.7" top="0.75" bottom="0.75" header="0.3" footer="0.3"/>
</x:worksheet>
</file>