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70b3672b7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42c06248a5c544d5"/>
    <x:sheet xmlns:r="http://schemas.openxmlformats.org/officeDocument/2006/relationships" name="Reference" sheetId="2" r:id="R036f825f402f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i/>
      <x:sz val="10"/>
      <x:color rgb="FF1F2937"/>
      <x:name val="Carlito"/>
    </x:font>
    <x:font>
      <x:b/>
      <x:sz val="9"/>
      <x:color rgb="FF64748B"/>
      <x:name val="Carlito"/>
    </x:font>
    <x:font>
      <x:b/>
      <x:sz val="16"/>
      <x:color rgb="FF123B5D"/>
      <x:name val="Carlito"/>
    </x:font>
    <x:font>
      <x:b/>
      <x:sz val="11"/>
      <x:color rgb="FF8A5A00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CFE8F6"/>
      </x:patternFill>
    </x:fill>
    <x:fill>
      <x:patternFill patternType="solid">
        <x:fgColor rgb="FFF8DADA"/>
      </x:patternFill>
    </x:fill>
    <x:fill>
      <x:patternFill patternType="solid">
        <x:fgColor rgb="FFFFF1CC"/>
      </x:patternFill>
    </x:fill>
    <x:fill>
      <x:patternFill patternType="solid">
        <x:fgColor rgb="FF236FAF"/>
      </x:patternFill>
    </x:fill>
  </x:fills>
  <x:borders count="5">
    <x:border/>
    <x:border>
      <x:left style="thin">
        <x:color rgb="FFD7E3EE"/>
      </x:left>
      <x:right style="thin">
        <x:color rgb="FFD7E3EE"/>
      </x:right>
      <x:top style="thin">
        <x:color rgb="FFD7E3EE"/>
      </x:top>
    </x:border>
    <x:border>
      <x:left style="thin">
        <x:color rgb="FFD7E3EE"/>
      </x:left>
      <x:right style="thin">
        <x:color rgb="FFD7E3EE"/>
      </x:right>
    </x:border>
    <x:border>
      <x:left style="thin">
        <x:color rgb="FFD7E3EE"/>
      </x:left>
      <x:right style="thin">
        <x:color rgb="FFD7E3EE"/>
      </x:right>
      <x:bottom style="thin">
        <x:color rgb="FFD7E3EE"/>
      </x:bottom>
    </x:border>
    <x:border>
      <x:left style="thin">
        <x:color rgb="FFD7E3EE"/>
      </x:left>
      <x:right style="thin">
        <x:color rgb="FFD7E3EE"/>
      </x:right>
      <x:top style="thin">
        <x:color rgb="FFD7E3EE"/>
      </x:top>
      <x:bottom style="thin">
        <x:color rgb="FFD7E3EE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9B1C1C"/>
      </x:font>
      <x:fill>
        <x:patternFill patternType="solid">
          <x:bgColor rgb="FFF8DADA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23B5D"/>
      </x:font>
      <x:fill>
        <x:patternFill patternType="solid">
          <x:bgColor rgb="FFECE7F6"/>
        </x:patternFill>
      </x:fill>
    </x:dxf>
    <x:dxf>
      <x:font>
        <x:b/>
        <x:color rgb="FF106B3A"/>
      </x:font>
      <x:fill>
        <x:patternFill patternType="solid">
          <x:bgColor rgb="FFDDF4E8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64748B"/>
      </x:font>
      <x:fill>
        <x:patternFill patternType="solid">
          <x:bgColor rgb="FFF3F6F8"/>
        </x:patternFill>
      </x:fill>
    </x:dxf>
    <x:dxf>
      <x:font>
        <x:b/>
        <x:color rgb="FF9B1C1C"/>
      </x:font>
      <x:fill>
        <x:patternFill patternType="solid">
          <x:bgColor rgb="FFF8DADA"/>
        </x:patternFill>
      </x:fill>
    </x:dxf>
    <x:dxf>
      <x:font>
        <x:b/>
        <x:color rgb="FF106B3A"/>
      </x:font>
      <x:fill>
        <x:patternFill patternType="solid">
          <x:bgColor rgb="FFDDF4E8"/>
        </x:patternFill>
      </x:fill>
    </x:dxf>
    <x:dxf>
      <x:font>
        <x:b/>
        <x:color rgb="FF9B1C1C"/>
      </x:font>
      <x:fill>
        <x:patternFill patternType="solid">
          <x:bgColor rgb="FFF8DADA"/>
        </x:patternFill>
      </x:fill>
    </x:dxf>
    <x:dxf>
      <x:font>
        <x:b/>
        <x:color rgb="FF64748B"/>
      </x:font>
      <x:fill>
        <x:patternFill patternType="solid">
          <x:bgColor rgb="FFF3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a86f51dee4497" /><Relationship Type="http://schemas.openxmlformats.org/officeDocument/2006/relationships/theme" Target="/xl/theme/theme1.xml" Id="Rab96c505bea241df" /><Relationship Type="http://schemas.openxmlformats.org/officeDocument/2006/relationships/sharedStrings" Target="/xl/sharedStrings.xml" Id="Re416277fd2314a66" /><Relationship Type="http://schemas.openxmlformats.org/officeDocument/2006/relationships/worksheet" Target="/xl/worksheets/sheet1.xml" Id="R42c06248a5c544d5" /><Relationship Type="http://schemas.openxmlformats.org/officeDocument/2006/relationships/worksheet" Target="/xl/worksheets/sheet2.xml" Id="R036f825f402f425e" /></Relationships>
</file>

<file path=xl/tables/table1.xml><?xml version="1.0" encoding="utf-8"?>
<x:table xmlns:x="http://schemas.openxmlformats.org/spreadsheetml/2006/main" id="1" name="SimplifiedPOCChecklist" displayName="SimplifiedPOCChecklist" ref="A10:H37" headerRowCount="1">
  <x:autoFilter ref="A10:H37"/>
  <x:tableColumns count="8">
    <x:tableColumn id="1" name="Owner"/>
    <x:tableColumn id="2" name="Priority"/>
    <x:tableColumn id="3" name="Workstream"/>
    <x:tableColumn id="4" name="Task"/>
    <x:tableColumn id="5" name="Deliverable / Done When"/>
    <x:tableColumn id="6" name="Status"/>
    <x:tableColumn id="7" name="Pushed?"/>
    <x:tableColumn id="8" name="Next Step /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SimplePermissionMatrix" displayName="SimplePermissionMatrix" ref="A5:F13" headerRowCount="1">
  <x:tableColumns count="6">
    <x:tableColumn id="1" name="Action"/>
    <x:tableColumn id="2" name="Admin"/>
    <x:tableColumn id="3" name="Biomedical"/>
    <x:tableColumn id="4" name="Manager Optional"/>
    <x:tableColumn id="5" name="Owner"/>
    <x:tableColumn id="6" name="Not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733ac9291646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848ed9186b4b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9" hidden="0" customWidth="1"/>
    <x:col min="3" max="3" width="16.25" hidden="0" customWidth="1"/>
    <x:col min="4" max="4" width="30" hidden="0" customWidth="1"/>
    <x:col min="5" max="5" width="53.75" hidden="0" customWidth="1"/>
    <x:col min="6" max="6" width="14.380000114440918" hidden="0" customWidth="1"/>
    <x:col min="7" max="7" width="11.5" hidden="0" customWidth="1"/>
    <x:col min="8" max="8" width="45" hidden="0" customWidth="1"/>
  </x:cols>
  <x:sheetData>
    <x:row r="1" ht="25.5" customHeight="1">
      <x:c r="A1" s="4" t="str">
        <x:v>Installation POC - Person A / Person B Checklist</x:v>
      </x:c>
    </x:row>
    <x:row r="2" ht="21" customHeight="1">
      <x:c r="A2" s="7" t="str">
        <x:v>Simplified delivery tracker with clear task ownership, current status, and pushed-to-git visibility.</x:v>
      </x:c>
    </x:row>
    <x:row r="4">
      <x:c r="A4" s="13" t="str">
        <x:v>Total Tasks</x:v>
      </x:c>
      <x:c r="B4" s="21" t="str">
        <x:v>P0 Must Fix</x:v>
      </x:c>
      <x:c r="C4" s="13" t="str">
        <x:v>Person A</x:v>
      </x:c>
      <x:c r="D4" s="13" t="str">
        <x:v>Person B</x:v>
      </x:c>
      <x:c r="E4" s="21" t="str">
        <x:v>Not Pushed</x:v>
      </x:c>
    </x:row>
    <x:row r="5">
      <x:c r="A5" s="15" t="n">
        <x:f>COUNTA($D$11:$D$37)</x:f>
        <x:v>27</x:v>
      </x:c>
      <x:c r="B5" s="23" t="n">
        <x:f>COUNTIF($B$11:$B$37,"P0")</x:f>
        <x:v>15</x:v>
      </x:c>
      <x:c r="C5" s="15" t="n">
        <x:f>COUNTIF($A$11:$A$37,"Person A")</x:f>
        <x:v>7</x:v>
      </x:c>
      <x:c r="D5" s="15" t="n">
        <x:f>COUNTIF($A$11:$A$37,"Person B")</x:f>
        <x:v>8</x:v>
      </x:c>
      <x:c r="E5" s="23" t="n">
        <x:f>COUNTIF($G$11:$G$37,"No")</x:f>
        <x:v>22</x:v>
      </x:c>
    </x:row>
    <x:row r="6">
      <x:c r="A6" s="11"/>
      <x:c r="B6" s="19"/>
      <x:c r="C6" s="11"/>
      <x:c r="D6" s="11"/>
      <x:c r="E6" s="19"/>
    </x:row>
    <x:row r="8">
      <x:c r="A8" s="26" t="str">
        <x:v>Git note: main -&gt; origin/main. No checklist implementation changes are confirmed as pushed. Local workspace still has uncommitted files.</x:v>
      </x:c>
    </x:row>
    <x:row r="10">
      <x:c r="A10" s="30" t="str">
        <x:v>Owner</x:v>
      </x:c>
      <x:c r="B10" s="30" t="str">
        <x:v>Priority</x:v>
      </x:c>
      <x:c r="C10" s="30" t="str">
        <x:v>Workstream</x:v>
      </x:c>
      <x:c r="D10" s="30" t="str">
        <x:v>Task</x:v>
      </x:c>
      <x:c r="E10" s="30" t="str">
        <x:v>Deliverable / Done When</x:v>
      </x:c>
      <x:c r="F10" s="30" t="str">
        <x:v>Status</x:v>
      </x:c>
      <x:c r="G10" s="30" t="str">
        <x:v>Pushed?</x:v>
      </x:c>
      <x:c r="H10" s="30" t="str">
        <x:v>Next Step / Evidence</x:v>
      </x:c>
    </x:row>
    <x:row r="11" ht="36" customHeight="1">
      <x:c r="A11" s="34" t="str">
        <x:v>Shared</x:v>
      </x:c>
      <x:c r="B11" s="34" t="str">
        <x:v>P0</x:v>
      </x:c>
      <x:c r="C11" s="34" t="str">
        <x:v>Foundation</x:v>
      </x:c>
      <x:c r="D11" s="34" t="str">
        <x:v>Finalize naming and constants</x:v>
      </x:c>
      <x:c r="E11" s="34" t="str">
        <x:v>Common names for profile types, statuses, roles, priorities, document states, and planning dates are agreed and reused.</x:v>
      </x:c>
      <x:c r="F11" s="34" t="str">
        <x:v>To Do</x:v>
      </x:c>
      <x:c r="G11" s="34" t="str">
        <x:v>No</x:v>
      </x:c>
      <x:c r="H11" s="34" t="str">
        <x:v>Create shared constants/config before feature work continues.</x:v>
      </x:c>
    </x:row>
    <x:row r="12" ht="36" customHeight="1">
      <x:c r="A12" s="34" t="str">
        <x:v>Shared</x:v>
      </x:c>
      <x:c r="B12" s="34" t="str">
        <x:v>P0</x:v>
      </x:c>
      <x:c r="C12" s="34" t="str">
        <x:v>Schema</x:v>
      </x:c>
      <x:c r="D12" s="34" t="str">
        <x:v>Clean migrations and constraints</x:v>
      </x:c>
      <x:c r="E12" s="34" t="str">
        <x:v>Migrations use consistent foreign keys, one-to-one profile constraints, and no orphan rows for profiles/documents/status/equipment links.</x:v>
      </x:c>
      <x:c r="F12" s="34" t="str">
        <x:v>Partial</x:v>
      </x:c>
      <x:c r="G12" s="34" t="str">
        <x:v>No</x:v>
      </x:c>
      <x:c r="H12" s="34" t="str">
        <x:v>Some tables exist, but Cath/documents/status/pivot constraints need cleanup.</x:v>
      </x:c>
    </x:row>
    <x:row r="13" ht="36" customHeight="1">
      <x:c r="A13" s="34" t="str">
        <x:v>Shared</x:v>
      </x:c>
      <x:c r="B13" s="34" t="str">
        <x:v>P0</x:v>
      </x:c>
      <x:c r="C13" s="34" t="str">
        <x:v>Permissions</x:v>
      </x:c>
      <x:c r="D13" s="34" t="str">
        <x:v>Define roles and status matrix</x:v>
      </x:c>
      <x:c r="E13" s="34" t="str">
        <x:v>Admin, biomedical, and optional manager permissions are written and mapped to allowed status transitions.</x:v>
      </x:c>
      <x:c r="F13" s="34" t="str">
        <x:v>To Do</x:v>
      </x:c>
      <x:c r="G13" s="34" t="str">
        <x:v>No</x:v>
      </x:c>
      <x:c r="H13" s="34" t="str">
        <x:v>Use the PRD matrix; keep manager read-only/disabled unless confirmed.</x:v>
      </x:c>
    </x:row>
    <x:row r="14" ht="36" customHeight="1">
      <x:c r="A14" s="34" t="str">
        <x:v>Shared</x:v>
      </x:c>
      <x:c r="B14" s="34" t="str">
        <x:v>P0</x:v>
      </x:c>
      <x:c r="C14" s="34" t="str">
        <x:v>Demo Data</x:v>
      </x:c>
      <x:c r="D14" s="34" t="str">
        <x:v>Fix seed data</x:v>
      </x:c>
      <x:c r="E14" s="34" t="str">
        <x:v>Seed creates valid demo users, clients, equipment, one MRI installation, one Cath installation, documents, and status history.</x:v>
      </x:c>
      <x:c r="F14" s="34" t="str">
        <x:v>To Do</x:v>
      </x:c>
      <x:c r="G14" s="34" t="str">
        <x:v>No</x:v>
      </x:c>
      <x:c r="H14" s="34" t="str">
        <x:v>Current DummyDataSeeder is not reliable against the equipment schema.</x:v>
      </x:c>
    </x:row>
    <x:row r="15" ht="36" customHeight="1">
      <x:c r="A15" s="34" t="str">
        <x:v>Shared</x:v>
      </x:c>
      <x:c r="B15" s="34" t="str">
        <x:v>P0</x:v>
      </x:c>
      <x:c r="C15" s="34" t="str">
        <x:v>Installation List</x:v>
      </x:c>
      <x:c r="D15" s="34" t="str">
        <x:v>Add simple filters</x:v>
      </x:c>
      <x:c r="E15" s="34" t="str">
        <x:v>List supports basic filtering by profile, status, client/site, main equipment, and missing documents when available.</x:v>
      </x:c>
      <x:c r="F15" s="34" t="str">
        <x:v>To Do</x:v>
      </x:c>
      <x:c r="G15" s="34" t="str">
        <x:v>No</x:v>
      </x:c>
      <x:c r="H15" s="34" t="str">
        <x:v>Index currently loads all installations without filters.</x:v>
      </x:c>
    </x:row>
    <x:row r="16" ht="36" customHeight="1">
      <x:c r="A16" s="34" t="str">
        <x:v>Shared</x:v>
      </x:c>
      <x:c r="B16" s="34" t="str">
        <x:v>P0</x:v>
      </x:c>
      <x:c r="C16" s="34" t="str">
        <x:v>Integration</x:v>
      </x:c>
      <x:c r="D16" s="34" t="str">
        <x:v>Validate vertical slice</x:v>
      </x:c>
      <x:c r="E16" s="34" t="str">
        <x:v>Fresh migration/seed works and both MRI and Cath installations can be created, viewed, edited, and historized.</x:v>
      </x:c>
      <x:c r="F16" s="34" t="str">
        <x:v>To Do</x:v>
      </x:c>
      <x:c r="G16" s="34" t="str">
        <x:v>No</x:v>
      </x:c>
      <x:c r="H16" s="34" t="str">
        <x:v>Run after schema/profile/seed cleanup.</x:v>
      </x:c>
    </x:row>
    <x:row r="17" ht="36" customHeight="1">
      <x:c r="A17" s="34" t="str">
        <x:v>Shared</x:v>
      </x:c>
      <x:c r="B17" s="34" t="str">
        <x:v>P0</x:v>
      </x:c>
      <x:c r="C17" s="34" t="str">
        <x:v>Documentation</x:v>
      </x:c>
      <x:c r="D17" s="34" t="str">
        <x:v>Prepare demo script and limitations note</x:v>
      </x:c>
      <x:c r="E17" s="34" t="str">
        <x:v>Demo script shows MRI, Cath, equipment, document, status, dashboard, calendar, and blocked unauthorized action.</x:v>
      </x:c>
      <x:c r="F17" s="34" t="str">
        <x:v>Partial</x:v>
      </x:c>
      <x:c r="G17" s="34" t="str">
        <x:v>No</x:v>
      </x:c>
      <x:c r="H17" s="34" t="str">
        <x:v>Planning document exists locally, but implementation/demo artifacts are not pushed.</x:v>
      </x:c>
    </x:row>
    <x:row r="18" ht="36" customHeight="1">
      <x:c r="A18" s="34" t="str">
        <x:v>Person A</x:v>
      </x:c>
      <x:c r="B18" s="34" t="str">
        <x:v>P0</x:v>
      </x:c>
      <x:c r="C18" s="34" t="str">
        <x:v>Roles</x:v>
      </x:c>
      <x:c r="D18" s="34" t="str">
        <x:v>Implement role storage and authorization</x:v>
      </x:c>
      <x:c r="E18" s="34" t="str">
        <x:v>Users have simple roles and server-side policy/middleware guards protect module actions.</x:v>
      </x:c>
      <x:c r="F18" s="34" t="str">
        <x:v>To Do</x:v>
      </x:c>
      <x:c r="G18" s="34" t="str">
        <x:v>No</x:v>
      </x:c>
      <x:c r="H18" s="34" t="str">
        <x:v>Add user role field and InstallationPolicy or equivalent middleware.</x:v>
      </x:c>
    </x:row>
    <x:row r="19" ht="36" customHeight="1">
      <x:c r="A19" s="34" t="str">
        <x:v>Person A</x:v>
      </x:c>
      <x:c r="B19" s="34" t="str">
        <x:v>P0</x:v>
      </x:c>
      <x:c r="C19" s="34" t="str">
        <x:v>Status Workflow</x:v>
      </x:c>
      <x:c r="D19" s="34" t="str">
        <x:v>Implement transition service</x:v>
      </x:c>
      <x:c r="E19" s="34" t="str">
        <x:v>Invalid status jumps are rejected, allowed transitions are historized, and archive is admin-only.</x:v>
      </x:c>
      <x:c r="F19" s="34" t="str">
        <x:v>To Do</x:v>
      </x:c>
      <x:c r="G19" s="34" t="str">
        <x:v>No</x:v>
      </x:c>
      <x:c r="H19" s="34" t="str">
        <x:v>Current edit form allows broad status selection.</x:v>
      </x:c>
    </x:row>
    <x:row r="20" ht="36" customHeight="1">
      <x:c r="A20" s="34" t="str">
        <x:v>Person A</x:v>
      </x:c>
      <x:c r="B20" s="34" t="str">
        <x:v>P0</x:v>
      </x:c>
      <x:c r="C20" s="34" t="str">
        <x:v>MRI Profile</x:v>
      </x:c>
      <x:c r="D20" s="34" t="str">
        <x:v>Clean MRI model and schema</x:v>
      </x:c>
      <x:c r="E20" s="34" t="str">
        <x:v>MRI profile has relationship, casts, validation-ready fields, and one-to-one integrity with Installation.</x:v>
      </x:c>
      <x:c r="F20" s="34" t="str">
        <x:v>Partial</x:v>
      </x:c>
      <x:c r="G20" s="34" t="str">
        <x:v>No</x:v>
      </x:c>
      <x:c r="H20" s="34" t="str">
        <x:v>MRI model/table exist but are not fully integrated.</x:v>
      </x:c>
    </x:row>
    <x:row r="21" ht="36" customHeight="1">
      <x:c r="A21" s="34" t="str">
        <x:v>Person A</x:v>
      </x:c>
      <x:c r="B21" s="34" t="str">
        <x:v>P0</x:v>
      </x:c>
      <x:c r="C21" s="34" t="str">
        <x:v>MRI Profile</x:v>
      </x:c>
      <x:c r="D21" s="34" t="str">
        <x:v>Integrate MRI in create/edit/show</x:v>
      </x:c>
      <x:c r="E21" s="34" t="str">
        <x:v>Selecting IRM displays/saves MRI-specific fields and detail page shows MRI profile values.</x:v>
      </x:c>
      <x:c r="F21" s="34" t="str">
        <x:v>To Do</x:v>
      </x:c>
      <x:c r="G21" s="34" t="str">
        <x:v>No</x:v>
      </x:c>
      <x:c r="H21" s="34" t="str">
        <x:v>Installation forms currently save common fields only; show page loads Cath profile only.</x:v>
      </x:c>
    </x:row>
    <x:row r="22" ht="36" customHeight="1">
      <x:c r="A22" s="34" t="str">
        <x:v>Person A</x:v>
      </x:c>
      <x:c r="B22" s="34" t="str">
        <x:v>P1</x:v>
      </x:c>
      <x:c r="C22" s="34" t="str">
        <x:v>MRI Documents</x:v>
      </x:c>
      <x:c r="D22" s="34" t="str">
        <x:v>Define MRI required documents</x:v>
      </x:c>
      <x:c r="E22" s="34" t="str">
        <x:v>MRI checklist tracks required installation/reception/room/prevention/conformity documents.</x:v>
      </x:c>
      <x:c r="F22" s="34" t="str">
        <x:v>To Do</x:v>
      </x:c>
      <x:c r="G22" s="34" t="str">
        <x:v>No</x:v>
      </x:c>
      <x:c r="H22" s="34" t="str">
        <x:v>Needed for missing-document KPI and operational readiness.</x:v>
      </x:c>
    </x:row>
    <x:row r="23" ht="36" customHeight="1">
      <x:c r="A23" s="34" t="str">
        <x:v>Person A</x:v>
      </x:c>
      <x:c r="B23" s="34" t="str">
        <x:v>P1</x:v>
      </x:c>
      <x:c r="C23" s="34" t="str">
        <x:v>Dashboard</x:v>
      </x:c>
      <x:c r="D23" s="34" t="str">
        <x:v>Build KPI dashboard</x:v>
      </x:c>
      <x:c r="E23" s="34" t="str">
        <x:v>Dashboard shows profile split, status counts, operational rate, maintenance count, missing equipment, missing blocking docs, and planned-this-month count.</x:v>
      </x:c>
      <x:c r="F23" s="34" t="str">
        <x:v>To Do</x:v>
      </x:c>
      <x:c r="G23" s="34" t="str">
        <x:v>No</x:v>
      </x:c>
      <x:c r="H23" s="34" t="str">
        <x:v>Root route currently redirects to installation list.</x:v>
      </x:c>
    </x:row>
    <x:row r="24" ht="36" customHeight="1">
      <x:c r="A24" s="34" t="str">
        <x:v>Person A</x:v>
      </x:c>
      <x:c r="B24" s="34" t="str">
        <x:v>P1</x:v>
      </x:c>
      <x:c r="C24" s="34" t="str">
        <x:v>Tests</x:v>
      </x:c>
      <x:c r="D24" s="34" t="str">
        <x:v>Add Person A feature tests</x:v>
      </x:c>
      <x:c r="E24" s="34" t="str">
        <x:v>Tests cover biomedical MRI create/update, manager cannot edit, biomedical cannot archive, invalid transition, and KPI counts.</x:v>
      </x:c>
      <x:c r="F24" s="34" t="str">
        <x:v>To Do</x:v>
      </x:c>
      <x:c r="G24" s="34" t="str">
        <x:v>No</x:v>
      </x:c>
      <x:c r="H24" s="34" t="str">
        <x:v>Only starter tests are present.</x:v>
      </x:c>
    </x:row>
    <x:row r="25" ht="36" customHeight="1">
      <x:c r="A25" s="34" t="str">
        <x:v>Person B</x:v>
      </x:c>
      <x:c r="B25" s="34" t="str">
        <x:v>P0</x:v>
      </x:c>
      <x:c r="C25" s="34" t="str">
        <x:v>Cath Profile</x:v>
      </x:c>
      <x:c r="D25" s="34" t="str">
        <x:v>Clean Cath model and schema</x:v>
      </x:c>
      <x:c r="E25" s="34" t="str">
        <x:v>Cath profile has relationship, casts, constrained foreign key, and one-to-one integrity with Installation.</x:v>
      </x:c>
      <x:c r="F25" s="34" t="str">
        <x:v>Partial</x:v>
      </x:c>
      <x:c r="G25" s="34" t="str">
        <x:v>No</x:v>
      </x:c>
      <x:c r="H25" s="34" t="str">
        <x:v>Cath controller/model exist, but migration lacks strong constraints.</x:v>
      </x:c>
    </x:row>
    <x:row r="26" ht="36" customHeight="1">
      <x:c r="A26" s="34" t="str">
        <x:v>Person B</x:v>
      </x:c>
      <x:c r="B26" s="34" t="str">
        <x:v>P0</x:v>
      </x:c>
      <x:c r="C26" s="34" t="str">
        <x:v>Cath Profile</x:v>
      </x:c>
      <x:c r="D26" s="34" t="str">
        <x:v>Integrate Cath in create/edit/show</x:v>
      </x:c>
      <x:c r="E26" s="34" t="str">
        <x:v>Selecting CATHETERISME displays/saves Cath-specific fields and detail page shows Cath profile values.</x:v>
      </x:c>
      <x:c r="F26" s="34" t="str">
        <x:v>Partial</x:v>
      </x:c>
      <x:c r="G26" s="34" t="str">
        <x:v>No</x:v>
      </x:c>
      <x:c r="H26" s="34" t="str">
        <x:v>Show page can display Cath if present; parent flow does not create/update it.</x:v>
      </x:c>
    </x:row>
    <x:row r="27" ht="36" customHeight="1">
      <x:c r="A27" s="34" t="str">
        <x:v>Person B</x:v>
      </x:c>
      <x:c r="B27" s="34" t="str">
        <x:v>P1</x:v>
      </x:c>
      <x:c r="C27" s="34" t="str">
        <x:v>Cath Documents</x:v>
      </x:c>
      <x:c r="D27" s="34" t="str">
        <x:v>Define Cath required documents</x:v>
      </x:c>
      <x:c r="E27" s="34" t="str">
        <x:v>Cath checklist tracks reception, quality control, radioprotection, prevention, and technical report documents.</x:v>
      </x:c>
      <x:c r="F27" s="34" t="str">
        <x:v>To Do</x:v>
      </x:c>
      <x:c r="G27" s="34" t="str">
        <x:v>No</x:v>
      </x:c>
      <x:c r="H27" s="34" t="str">
        <x:v>Needed for missing-document logic.</x:v>
      </x:c>
    </x:row>
    <x:row r="28" ht="36" customHeight="1">
      <x:c r="A28" s="34" t="str">
        <x:v>Person B</x:v>
      </x:c>
      <x:c r="B28" s="34" t="str">
        <x:v>P0</x:v>
      </x:c>
      <x:c r="C28" s="34" t="str">
        <x:v>Documents</x:v>
      </x:c>
      <x:c r="D28" s="34" t="str">
        <x:v>Implement document attachment POC</x:v>
      </x:c>
      <x:c r="E28" s="34" t="str">
        <x:v>Document table supports category, version, status, blocking flag, DMS object id or file/url fallback, active flag, uploader, and replacement link.</x:v>
      </x:c>
      <x:c r="F28" s="34" t="str">
        <x:v>Partial</x:v>
      </x:c>
      <x:c r="G28" s="34" t="str">
        <x:v>No</x:v>
      </x:c>
      <x:c r="H28" s="34" t="str">
        <x:v>Current table stores only basic metadata.</x:v>
      </x:c>
    </x:row>
    <x:row r="29" ht="36" customHeight="1">
      <x:c r="A29" s="34" t="str">
        <x:v>Person B</x:v>
      </x:c>
      <x:c r="B29" s="34" t="str">
        <x:v>P1</x:v>
      </x:c>
      <x:c r="C29" s="34" t="str">
        <x:v>Documents</x:v>
      </x:c>
      <x:c r="D29" s="34" t="str">
        <x:v>Add active version and missing-doc rules</x:v>
      </x:c>
      <x:c r="E29" s="34" t="str">
        <x:v>Only one active blocking version per type is allowed and missing required documents are visible.</x:v>
      </x:c>
      <x:c r="F29" s="34" t="str">
        <x:v>To Do</x:v>
      </x:c>
      <x:c r="G29" s="34" t="str">
        <x:v>No</x:v>
      </x:c>
      <x:c r="H29" s="34" t="str">
        <x:v>No active-version or missing-document logic exists.</x:v>
      </x:c>
    </x:row>
    <x:row r="30" ht="36" customHeight="1">
      <x:c r="A30" s="34" t="str">
        <x:v>Person B</x:v>
      </x:c>
      <x:c r="B30" s="34" t="str">
        <x:v>P0</x:v>
      </x:c>
      <x:c r="C30" s="34" t="str">
        <x:v>Equipment</x:v>
      </x:c>
      <x:c r="D30" s="34" t="str">
        <x:v>Improve equipment and sub-equipment display</x:v>
      </x:c>
      <x:c r="E30" s="34" t="str">
        <x:v>Main equipment is shown by relation, secondary equipment pivot is constrained, and sub-equipment is visible through linked equipment.</x:v>
      </x:c>
      <x:c r="F30" s="34" t="str">
        <x:v>Partial</x:v>
      </x:c>
      <x:c r="G30" s="34" t="str">
        <x:v>No</x:v>
      </x:c>
      <x:c r="H30" s="34" t="str">
        <x:v>Main equipment currently appears mostly as raw ID; pivot lacks constraints.</x:v>
      </x:c>
    </x:row>
    <x:row r="31" ht="36" customHeight="1">
      <x:c r="A31" s="34" t="str">
        <x:v>Person B</x:v>
      </x:c>
      <x:c r="B31" s="34" t="str">
        <x:v>P1</x:v>
      </x:c>
      <x:c r="C31" s="34" t="str">
        <x:v>Calendar</x:v>
      </x:c>
      <x:c r="D31" s="34" t="str">
        <x:v>Build monthly installation calendar</x:v>
      </x:c>
      <x:c r="E31" s="34" t="str">
        <x:v>Installation planning dates exist and a monthly view shows code, name, profile, status, and client/site.</x:v>
      </x:c>
      <x:c r="F31" s="34" t="str">
        <x:v>To Do</x:v>
      </x:c>
      <x:c r="G31" s="34" t="str">
        <x:v>No</x:v>
      </x:c>
      <x:c r="H31" s="34" t="str">
        <x:v>No installation-level planning dates or calendar view exist.</x:v>
      </x:c>
    </x:row>
    <x:row r="32" ht="36" customHeight="1">
      <x:c r="A32" s="34" t="str">
        <x:v>Person B</x:v>
      </x:c>
      <x:c r="B32" s="34" t="str">
        <x:v>P1</x:v>
      </x:c>
      <x:c r="C32" s="34" t="str">
        <x:v>Tests</x:v>
      </x:c>
      <x:c r="D32" s="34" t="str">
        <x:v>Add Person B feature tests</x:v>
      </x:c>
      <x:c r="E32" s="34" t="str">
        <x:v>Tests cover Cath child save, wrong-profile guard, document attach/blocking/missing logic, and calendar month filtering.</x:v>
      </x:c>
      <x:c r="F32" s="34" t="str">
        <x:v>To Do</x:v>
      </x:c>
      <x:c r="G32" s="34" t="str">
        <x:v>No</x:v>
      </x:c>
      <x:c r="H32" s="34" t="str">
        <x:v>No feature tests for these flows exist.</x:v>
      </x:c>
    </x:row>
    <x:row r="33" ht="36" customHeight="1">
      <x:c r="A33" s="34" t="str">
        <x:v>Optional</x:v>
      </x:c>
      <x:c r="B33" s="34" t="str">
        <x:v>P2</x:v>
      </x:c>
      <x:c r="C33" s="34" t="str">
        <x:v>Manager</x:v>
      </x:c>
      <x:c r="D33" s="34" t="str">
        <x:v>Manager validation workflow</x:v>
      </x:c>
      <x:c r="E33" s="34" t="str">
        <x:v>Manager approval remains disabled unless Philips confirms activation.</x:v>
      </x:c>
      <x:c r="F33" s="34" t="str">
        <x:v>Deferred</x:v>
      </x:c>
      <x:c r="G33" s="34" t="str">
        <x:v>N/A</x:v>
      </x:c>
      <x:c r="H33" s="34" t="str">
        <x:v>Do not block POC delivery.</x:v>
      </x:c>
    </x:row>
    <x:row r="34" ht="36" customHeight="1">
      <x:c r="A34" s="34" t="str">
        <x:v>Optional</x:v>
      </x:c>
      <x:c r="B34" s="34" t="str">
        <x:v>P2</x:v>
      </x:c>
      <x:c r="C34" s="34" t="str">
        <x:v>Export</x:v>
      </x:c>
      <x:c r="D34" s="34" t="str">
        <x:v>Export filtered list</x:v>
      </x:c>
      <x:c r="E34" s="34" t="str">
        <x:v>CSV/Excel export is added only after P0/P1 demo scope is stable.</x:v>
      </x:c>
      <x:c r="F34" s="34" t="str">
        <x:v>Deferred</x:v>
      </x:c>
      <x:c r="G34" s="34" t="str">
        <x:v>N/A</x:v>
      </x:c>
      <x:c r="H34" s="34" t="str">
        <x:v>Could be useful, but not central.</x:v>
      </x:c>
    </x:row>
    <x:row r="35" ht="36" customHeight="1">
      <x:c r="A35" s="34" t="str">
        <x:v>Optional</x:v>
      </x:c>
      <x:c r="B35" s="34" t="str">
        <x:v>P2</x:v>
      </x:c>
      <x:c r="C35" s="34" t="str">
        <x:v>Budget</x:v>
      </x:c>
      <x:c r="D35" s="34" t="str">
        <x:v>Budget fields if confirmed</x:v>
      </x:c>
      <x:c r="E35" s="34" t="str">
        <x:v>Add budget_prevu, budget_reel, and devise only if stakeholders request financial tracking.</x:v>
      </x:c>
      <x:c r="F35" s="34" t="str">
        <x:v>Deferred</x:v>
      </x:c>
      <x:c r="G35" s="34" t="str">
        <x:v>N/A</x:v>
      </x:c>
      <x:c r="H35" s="34" t="str">
        <x:v>PRD and scope do not make budget mandatory.</x:v>
      </x:c>
    </x:row>
    <x:row r="36" ht="36" customHeight="1">
      <x:c r="A36" s="34" t="str">
        <x:v>Optional</x:v>
      </x:c>
      <x:c r="B36" s="34" t="str">
        <x:v>P2</x:v>
      </x:c>
      <x:c r="C36" s="34" t="str">
        <x:v>Time Tracking</x:v>
      </x:c>
      <x:c r="D36" s="34" t="str">
        <x:v>Time and effort fields if confirmed</x:v>
      </x:c>
      <x:c r="E36" s="34" t="str">
        <x:v>Add planned/actual effort fields only if stakeholders request installation duration tracking.</x:v>
      </x:c>
      <x:c r="F36" s="34" t="str">
        <x:v>Deferred</x:v>
      </x:c>
      <x:c r="G36" s="34" t="str">
        <x:v>N/A</x:v>
      </x:c>
      <x:c r="H36" s="34" t="str">
        <x:v>Calendar needs dates; full effort tracking is optional.</x:v>
      </x:c>
    </x:row>
    <x:row r="37" ht="36" customHeight="1">
      <x:c r="A37" s="34" t="str">
        <x:v>Optional</x:v>
      </x:c>
      <x:c r="B37" s="34" t="str">
        <x:v>P2</x:v>
      </x:c>
      <x:c r="C37" s="34" t="str">
        <x:v>DMS/Audit</x:v>
      </x:c>
      <x:c r="D37" s="34" t="str">
        <x:v>Full DMS, audit, and intervention integration</x:v>
      </x:c>
      <x:c r="E37" s="34" t="str">
        <x:v>Real DMS versioning, audit logs, and intervention linkage are added only if existing tables are confirmed.</x:v>
      </x:c>
      <x:c r="F37" s="34" t="str">
        <x:v>Deferred</x:v>
      </x:c>
      <x:c r="G37" s="34" t="str">
        <x:v>N/A</x:v>
      </x:c>
      <x:c r="H37" s="34" t="str">
        <x:v>Use POC fallback first.</x:v>
      </x:c>
    </x:row>
  </x:sheetData>
  <x:mergeCells>
    <x:mergeCell ref="A1:H1"/>
    <x:mergeCell ref="A2:H2"/>
    <x:mergeCell ref="A8:H8"/>
  </x:mergeCells>
  <x:conditionalFormatting sqref="B11:B37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F11:F37">
    <x:cfRule type="containsText" dxfId="3" priority="4" operator="containsText" text="Done"/>
    <x:cfRule type="containsText" dxfId="4" priority="5" operator="containsText" text="Partial"/>
    <x:cfRule type="containsText" dxfId="5" priority="6" operator="containsText" text="Deferred"/>
    <x:cfRule type="containsText" dxfId="6" priority="7" operator="containsText" text="Blocked"/>
  </x:conditionalFormatting>
  <x:conditionalFormatting sqref="G11:G37">
    <x:cfRule type="containsText" dxfId="7" priority="8" operator="containsText" text="Yes"/>
    <x:cfRule type="containsText" dxfId="8" priority="9" operator="containsText" text="No"/>
    <x:cfRule type="containsText" dxfId="9" priority="10" operator="containsText" text="N/A"/>
  </x:conditionalFormatting>
  <x:dataValidations count="3">
    <x:dataValidation type="list" sqref="B11:B37">
      <x:formula1>"P0,P1,P2"</x:formula1>
    </x:dataValidation>
    <x:dataValidation type="list" sqref="F11:F37">
      <x:formula1>"To Do,In Progress,Partial,Blocked,Done,Deferred"</x:formula1>
    </x:dataValidation>
    <x:dataValidation type="list" sqref="G11:G37">
      <x:formula1>"No,Yes,N/A"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733ac9291646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2.5" hidden="0" customWidth="1"/>
    <x:col min="6" max="6" width="38.75" hidden="0" customWidth="1"/>
  </x:cols>
  <x:sheetData>
    <x:row r="1" ht="25.5" customHeight="1">
      <x:c r="A1" s="4" t="str">
        <x:v>Reference - Permissions and Git Interpretation</x:v>
      </x:c>
    </x:row>
    <x:row r="2" ht="21" customHeight="1">
      <x:c r="A2" s="7" t="str">
        <x:v>Short reference used by the simplified checklist.</x:v>
      </x:c>
    </x:row>
    <x:row r="5">
      <x:c r="A5" s="35" t="str">
        <x:v>Action</x:v>
      </x:c>
      <x:c r="B5" s="35" t="str">
        <x:v>Admin</x:v>
      </x:c>
      <x:c r="C5" s="35" t="str">
        <x:v>Biomedical</x:v>
      </x:c>
      <x:c r="D5" s="35" t="str">
        <x:v>Manager Optional</x:v>
      </x:c>
      <x:c r="E5" s="35" t="str">
        <x:v>Owner</x:v>
      </x:c>
      <x:c r="F5" s="35" t="str">
        <x:v>Note</x:v>
      </x:c>
    </x:row>
    <x:row r="6">
      <x:c r="A6" s="37" t="str">
        <x:v>View list/detail</x:v>
      </x:c>
      <x:c r="B6" s="37" t="str">
        <x:v>Yes</x:v>
      </x:c>
      <x:c r="C6" s="37" t="str">
        <x:v>Yes</x:v>
      </x:c>
      <x:c r="D6" s="37" t="str">
        <x:v>Yes</x:v>
      </x:c>
      <x:c r="E6" s="37" t="str">
        <x:v>Shared</x:v>
      </x:c>
      <x:c r="F6" s="37" t="str">
        <x:v>Internal only.</x:v>
      </x:c>
    </x:row>
    <x:row r="7">
      <x:c r="A7" s="37" t="str">
        <x:v>Create/edit installation</x:v>
      </x:c>
      <x:c r="B7" s="37" t="str">
        <x:v>Yes</x:v>
      </x:c>
      <x:c r="C7" s="37" t="str">
        <x:v>Yes</x:v>
      </x:c>
      <x:c r="D7" s="37" t="str">
        <x:v>No</x:v>
      </x:c>
      <x:c r="E7" s="37" t="str">
        <x:v>Person A</x:v>
      </x:c>
      <x:c r="F7" s="37" t="str">
        <x:v>Protected by policy/middleware.</x:v>
      </x:c>
    </x:row>
    <x:row r="8">
      <x:c r="A8" s="37" t="str">
        <x:v>Edit MRI profile</x:v>
      </x:c>
      <x:c r="B8" s="37" t="str">
        <x:v>Yes</x:v>
      </x:c>
      <x:c r="C8" s="37" t="str">
        <x:v>Yes</x:v>
      </x:c>
      <x:c r="D8" s="37" t="str">
        <x:v>No</x:v>
      </x:c>
      <x:c r="E8" s="37" t="str">
        <x:v>Person A</x:v>
      </x:c>
      <x:c r="F8" s="37" t="str">
        <x:v>Profile-specific ownership.</x:v>
      </x:c>
    </x:row>
    <x:row r="9">
      <x:c r="A9" s="37" t="str">
        <x:v>Edit Cath profile</x:v>
      </x:c>
      <x:c r="B9" s="37" t="str">
        <x:v>Yes</x:v>
      </x:c>
      <x:c r="C9" s="37" t="str">
        <x:v>Yes</x:v>
      </x:c>
      <x:c r="D9" s="37" t="str">
        <x:v>No</x:v>
      </x:c>
      <x:c r="E9" s="37" t="str">
        <x:v>Person B</x:v>
      </x:c>
      <x:c r="F9" s="37" t="str">
        <x:v>Profile-specific ownership.</x:v>
      </x:c>
    </x:row>
    <x:row r="10">
      <x:c r="A10" s="37" t="str">
        <x:v>Attach documents</x:v>
      </x:c>
      <x:c r="B10" s="37" t="str">
        <x:v>Yes</x:v>
      </x:c>
      <x:c r="C10" s="37" t="str">
        <x:v>Yes</x:v>
      </x:c>
      <x:c r="D10" s="37" t="str">
        <x:v>No</x:v>
      </x:c>
      <x:c r="E10" s="37" t="str">
        <x:v>Person B</x:v>
      </x:c>
      <x:c r="F10" s="37" t="str">
        <x:v>DMS fallback accepted for POC.</x:v>
      </x:c>
    </x:row>
    <x:row r="11">
      <x:c r="A11" s="37" t="str">
        <x:v>Change operational status</x:v>
      </x:c>
      <x:c r="B11" s="37" t="str">
        <x:v>Yes</x:v>
      </x:c>
      <x:c r="C11" s="37" t="str">
        <x:v>Yes</x:v>
      </x:c>
      <x:c r="D11" s="37" t="str">
        <x:v>Validation only if enabled</x:v>
      </x:c>
      <x:c r="E11" s="37" t="str">
        <x:v>Person A</x:v>
      </x:c>
      <x:c r="F11" s="37" t="str">
        <x:v>Transition service required.</x:v>
      </x:c>
    </x:row>
    <x:row r="12">
      <x:c r="A12" s="37" t="str">
        <x:v>Archive</x:v>
      </x:c>
      <x:c r="B12" s="37" t="str">
        <x:v>Yes</x:v>
      </x:c>
      <x:c r="C12" s="37" t="str">
        <x:v>No</x:v>
      </x:c>
      <x:c r="D12" s="37" t="str">
        <x:v>No</x:v>
      </x:c>
      <x:c r="E12" s="37" t="str">
        <x:v>Person A</x:v>
      </x:c>
      <x:c r="F12" s="37" t="str">
        <x:v>Admin-only.</x:v>
      </x:c>
    </x:row>
    <x:row r="13">
      <x:c r="A13" s="37" t="str">
        <x:v>View KPIs/calendar</x:v>
      </x:c>
      <x:c r="B13" s="37" t="str">
        <x:v>Yes</x:v>
      </x:c>
      <x:c r="C13" s="37" t="str">
        <x:v>Yes</x:v>
      </x:c>
      <x:c r="D13" s="37" t="str">
        <x:v>Yes if enabled</x:v>
      </x:c>
      <x:c r="E13" s="37" t="str">
        <x:v>Shared</x:v>
      </x:c>
      <x:c r="F13" s="37" t="str">
        <x:v>Dashboard and calendar are expected demo items.</x:v>
      </x:c>
    </x:row>
    <x:row r="16">
      <x:c r="A16" s="35" t="str">
        <x:v>Git Interpretation</x:v>
      </x:c>
    </x:row>
    <x:row r="17">
      <x:c r="A17" s="40" t="str">
        <x:v>Checked At</x:v>
      </x:c>
      <x:c r="B17" s="37" t="str">
        <x:v>2026-06-09</x:v>
      </x:c>
      <x:c r="C17" s="37" t="str"/>
      <x:c r="D17" s="37" t="str"/>
      <x:c r="E17" s="37" t="str"/>
      <x:c r="F17" s="37" t="str"/>
    </x:row>
    <x:row r="18">
      <x:c r="A18" s="40" t="str">
        <x:v>Branch</x:v>
      </x:c>
      <x:c r="B18" s="37" t="str">
        <x:v>main</x:v>
      </x:c>
      <x:c r="C18" s="37" t="str"/>
      <x:c r="D18" s="37" t="str"/>
      <x:c r="E18" s="37" t="str"/>
      <x:c r="F18" s="37" t="str"/>
    </x:row>
    <x:row r="19">
      <x:c r="A19" s="40" t="str">
        <x:v>Upstream</x:v>
      </x:c>
      <x:c r="B19" s="37" t="str">
        <x:v>origin/main</x:v>
      </x:c>
      <x:c r="C19" s="37" t="str"/>
      <x:c r="D19" s="37" t="str"/>
      <x:c r="E19" s="37" t="str"/>
      <x:c r="F19" s="37" t="str"/>
    </x:row>
    <x:row r="20">
      <x:c r="A20" s="40" t="str">
        <x:v>Remote</x:v>
      </x:c>
      <x:c r="B20" s="37" t="str">
        <x:v>https://github.com/ghaythmabrouk240-oss/extention_instalation.git</x:v>
      </x:c>
      <x:c r="C20" s="37" t="str"/>
      <x:c r="D20" s="37" t="str"/>
      <x:c r="E20" s="37" t="str"/>
      <x:c r="F20" s="37" t="str"/>
    </x:row>
    <x:row r="21">
      <x:c r="A21" s="40" t="str">
        <x:v>Pushed?</x:v>
      </x:c>
      <x:c r="B21" s="37" t="str">
        <x:v>No = not confirmed pushed; Yes = pushed to remote; N/A = optional/deferred or not a code change.</x:v>
      </x:c>
      <x:c r="C21" s="37" t="str"/>
      <x:c r="D21" s="37" t="str"/>
      <x:c r="E21" s="37" t="str"/>
      <x:c r="F21" s="37" t="str"/>
    </x:row>
  </x:sheetData>
  <x:mergeCells>
    <x:mergeCell ref="A1:F1"/>
    <x:mergeCell ref="A2:F2"/>
    <x:mergeCell ref="A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  <x:tableParts count="1">
    <x:tablePart xmlns:r="http://schemas.openxmlformats.org/officeDocument/2006/relationships" r:id="R1e848ed9186b4b72"/>
  </x:tableParts>
</x:worksheet>
</file>